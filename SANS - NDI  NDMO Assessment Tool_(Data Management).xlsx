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people.ey.com/personal/faisal_alheezan_sa_ey_com/Documents/Desktop/"/>
    </mc:Choice>
  </mc:AlternateContent>
  <xr:revisionPtr revIDLastSave="210" documentId="8_{EBA7421D-C7AB-4E49-8EAC-D369645E3481}" xr6:coauthVersionLast="47" xr6:coauthVersionMax="47" xr10:uidLastSave="{DE0B7178-9308-4D64-AA2B-4B14D2E0C050}"/>
  <bookViews>
    <workbookView xWindow="-108" yWindow="-108" windowWidth="23256" windowHeight="12456" activeTab="1" xr2:uid="{EB80DEEC-3B5C-4E24-831E-3C74DDA6CA0B}"/>
  </bookViews>
  <sheets>
    <sheet name="Cover" sheetId="3" r:id="rId1"/>
    <sheet name="Priority Items" sheetId="43" r:id="rId2"/>
    <sheet name="Master" sheetId="22" r:id="rId3"/>
    <sheet name="Maturity Questions Overview" sheetId="23" r:id="rId4"/>
    <sheet name="NDMO Specs. Overview" sheetId="32" r:id="rId5"/>
    <sheet name="Hiden - Duplicated Specs" sheetId="33" state="hidden" r:id="rId6"/>
    <sheet name="Calculation" sheetId="24" state="hidden" r:id="rId7"/>
    <sheet name="Hiden- Spec" sheetId="37" state="hidden" r:id="rId8"/>
  </sheets>
  <externalReferences>
    <externalReference r:id="rId9"/>
    <externalReference r:id="rId10"/>
    <externalReference r:id="rId11"/>
    <externalReference r:id="rId12"/>
    <externalReference r:id="rId13"/>
  </externalReferences>
  <definedNames>
    <definedName name="_xlnm._FilterDatabase" localSheetId="4" hidden="1">'NDMO Specs. Overview'!$A$1:$F$194</definedName>
    <definedName name="_Order1" hidden="1">0</definedName>
    <definedName name="_Order2" hidden="1">0</definedName>
    <definedName name="Andrew">#REF!</definedName>
    <definedName name="anscount" hidden="1">1</definedName>
    <definedName name="Availability">[1]B4!$D$53:$D$56</definedName>
    <definedName name="Bidder_and_Sub">[2]ControlSheet!$A$3:$A$13</definedName>
    <definedName name="check" hidden="1">{"'Summary'!$A$1:$J$46"}</definedName>
    <definedName name="csDesignMode">1</definedName>
    <definedName name="CustomizationEffort">[1]B4!$D$58:$D$61</definedName>
    <definedName name="Department_Function">'[3]HR Process Questions'!#REF!</definedName>
    <definedName name="Effort">[4]Metadata!$F$2:$F$5</definedName>
    <definedName name="ExactAddinReports" hidden="1">1</definedName>
    <definedName name="EY">#REF!</definedName>
    <definedName name="G1Ref">#REF!</definedName>
    <definedName name="G2Ref">#REF!</definedName>
    <definedName name="HTML_CodePage" hidden="1">1252</definedName>
    <definedName name="HTML_Description" hidden="1">""</definedName>
    <definedName name="HTML_Email" hidden="1">""</definedName>
    <definedName name="HTML_Header" hidden="1">"Summary"</definedName>
    <definedName name="HTML_LastUpdate" hidden="1">"15/9/97"</definedName>
    <definedName name="HTML_LineAfter" hidden="1">FALSE</definedName>
    <definedName name="HTML_LineBefore" hidden="1">FALSE</definedName>
    <definedName name="HTML_Name" hidden="1">"Luis Garcia-Villaraco Ruiz de Castañeda"</definedName>
    <definedName name="HTML_OBDlg2" hidden="1">TRUE</definedName>
    <definedName name="HTML_OBDlg4" hidden="1">TRUE</definedName>
    <definedName name="HTML_OS" hidden="1">0</definedName>
    <definedName name="HTML_PathFile" hidden="1">"C:\Project Office\a1540fl\HTML.htm"</definedName>
    <definedName name="HTML_Title" hidden="1">"COST_1540FL"</definedName>
    <definedName name="MainBidder">[2]C1!$D$7</definedName>
    <definedName name="ProductModules">[1]ControlSheet!$K$3:$K$56</definedName>
    <definedName name="ProjectRoles">[2]ControlSheet!$C$3:$C$26</definedName>
    <definedName name="Rank">'[5]Data Validation'!$A$1:$A$4</definedName>
    <definedName name="Response">[4]Metadata!$A$2:$A$6</definedName>
    <definedName name="review">#REF!</definedName>
    <definedName name="reviewers">#REF!</definedName>
    <definedName name="reviewers2">#REF!</definedName>
    <definedName name="Slicer_Domain_ID1">#N/A</definedName>
    <definedName name="Slicer_Domain_ID11">#N/A</definedName>
    <definedName name="solver_lin" hidden="1">0</definedName>
    <definedName name="solver_num" hidden="1">0</definedName>
    <definedName name="solver_typ" hidden="1">3</definedName>
    <definedName name="solver_val" hidden="1">0.6</definedName>
    <definedName name="SubsList">#REF!</definedName>
    <definedName name="Time0">#REF!</definedName>
    <definedName name="Time1">#REF!</definedName>
    <definedName name="Time2">#REF!</definedName>
    <definedName name="Value1">#REF!</definedName>
    <definedName name="Value2">#REF!</definedName>
    <definedName name="x">#REF!</definedName>
  </definedNames>
  <calcPr calcId="191028"/>
  <pivotCaches>
    <pivotCache cacheId="3"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4" i="32" l="1"/>
  <c r="G191" i="32" l="1"/>
  <c r="G190" i="32"/>
  <c r="G159" i="32"/>
  <c r="G170" i="32"/>
  <c r="G155" i="32"/>
  <c r="G148" i="32"/>
  <c r="G117" i="32"/>
  <c r="G116" i="32"/>
  <c r="G114" i="32"/>
  <c r="G113" i="32"/>
  <c r="G112" i="32"/>
  <c r="G119" i="32"/>
  <c r="G56" i="32"/>
  <c r="G57" i="32"/>
  <c r="G70" i="32"/>
  <c r="G68" i="32"/>
  <c r="G66" i="32"/>
  <c r="G7" i="32"/>
  <c r="G27" i="32"/>
  <c r="G87" i="32"/>
  <c r="G86" i="32"/>
  <c r="G82" i="32"/>
  <c r="G146" i="32"/>
  <c r="G139" i="32"/>
  <c r="M4" i="24"/>
  <c r="D4" i="24"/>
  <c r="G193" i="32"/>
  <c r="G194" i="32"/>
  <c r="G192" i="32"/>
  <c r="G189" i="32"/>
  <c r="G185" i="32"/>
  <c r="G186" i="32"/>
  <c r="G187" i="32"/>
  <c r="G188" i="32"/>
  <c r="G179" i="32"/>
  <c r="G180" i="32"/>
  <c r="G181" i="32"/>
  <c r="G182" i="32"/>
  <c r="G183" i="32"/>
  <c r="G184" i="32"/>
  <c r="G172" i="32"/>
  <c r="G173" i="32"/>
  <c r="G174" i="32"/>
  <c r="G175" i="32"/>
  <c r="G176" i="32"/>
  <c r="G177" i="32"/>
  <c r="G178" i="32"/>
  <c r="G171" i="32"/>
  <c r="G166" i="32"/>
  <c r="G167" i="32"/>
  <c r="G168" i="32"/>
  <c r="G169" i="32"/>
  <c r="G165" i="32"/>
  <c r="G161" i="32"/>
  <c r="G162" i="32"/>
  <c r="G163" i="32"/>
  <c r="G160" i="32"/>
  <c r="G158" i="32"/>
  <c r="G157" i="32"/>
  <c r="G156" i="32"/>
  <c r="G150" i="32"/>
  <c r="G151" i="32"/>
  <c r="G152" i="32"/>
  <c r="G153" i="32"/>
  <c r="G154" i="32"/>
  <c r="G149" i="32"/>
  <c r="G147" i="32"/>
  <c r="G145" i="32"/>
  <c r="G141" i="32"/>
  <c r="G142" i="32"/>
  <c r="G143" i="32"/>
  <c r="G144" i="32"/>
  <c r="G140" i="32"/>
  <c r="G129" i="32"/>
  <c r="G130" i="32"/>
  <c r="G131" i="32"/>
  <c r="G132" i="32"/>
  <c r="G133" i="32"/>
  <c r="G134" i="32"/>
  <c r="G135" i="32"/>
  <c r="G136" i="32"/>
  <c r="G137" i="32"/>
  <c r="G138" i="32"/>
  <c r="G121" i="32"/>
  <c r="G122" i="32"/>
  <c r="G123" i="32"/>
  <c r="G124" i="32"/>
  <c r="G125" i="32"/>
  <c r="G126" i="32"/>
  <c r="G127" i="32"/>
  <c r="G128" i="32"/>
  <c r="G120" i="32"/>
  <c r="G118" i="32"/>
  <c r="G115" i="32"/>
  <c r="G110" i="32"/>
  <c r="G111" i="32"/>
  <c r="G106" i="32"/>
  <c r="G107" i="32"/>
  <c r="G108" i="32"/>
  <c r="G109" i="32"/>
  <c r="G100" i="32"/>
  <c r="G101" i="32"/>
  <c r="G102" i="32"/>
  <c r="G103" i="32"/>
  <c r="G104" i="32"/>
  <c r="G105" i="32"/>
  <c r="G92" i="32"/>
  <c r="G93" i="32"/>
  <c r="G94" i="32"/>
  <c r="G95" i="32"/>
  <c r="G96" i="32"/>
  <c r="G97" i="32"/>
  <c r="G98" i="32"/>
  <c r="G99" i="32"/>
  <c r="G89" i="32"/>
  <c r="G90" i="32"/>
  <c r="G91" i="32"/>
  <c r="G88" i="32"/>
  <c r="G85" i="32"/>
  <c r="G84" i="32"/>
  <c r="G83" i="32"/>
  <c r="G72" i="32"/>
  <c r="G73" i="32"/>
  <c r="G74" i="32"/>
  <c r="F74" i="32" s="1"/>
  <c r="G75" i="32"/>
  <c r="G76" i="32"/>
  <c r="G77" i="32"/>
  <c r="G78" i="32"/>
  <c r="G79" i="32"/>
  <c r="G80" i="32"/>
  <c r="G81" i="32"/>
  <c r="G71" i="32"/>
  <c r="G69" i="32"/>
  <c r="G67" i="32"/>
  <c r="G59" i="32"/>
  <c r="G60" i="32"/>
  <c r="G61" i="32"/>
  <c r="G62" i="32"/>
  <c r="G63" i="32"/>
  <c r="G64" i="32"/>
  <c r="G65" i="32"/>
  <c r="G58" i="32"/>
  <c r="G50" i="32"/>
  <c r="G51" i="32"/>
  <c r="G52" i="32"/>
  <c r="G53" i="32"/>
  <c r="G54" i="32"/>
  <c r="G55" i="32"/>
  <c r="G29" i="32"/>
  <c r="G30" i="32"/>
  <c r="G31" i="32"/>
  <c r="G32" i="32"/>
  <c r="G33" i="32"/>
  <c r="G34" i="32"/>
  <c r="G35" i="32"/>
  <c r="G36" i="32"/>
  <c r="G37" i="32"/>
  <c r="G38" i="32"/>
  <c r="G39" i="32"/>
  <c r="G40" i="32"/>
  <c r="G41" i="32"/>
  <c r="G42" i="32"/>
  <c r="G43" i="32"/>
  <c r="G44" i="32"/>
  <c r="G45" i="32"/>
  <c r="G46" i="32"/>
  <c r="G47" i="32"/>
  <c r="G48" i="32"/>
  <c r="G49" i="32"/>
  <c r="G28" i="32"/>
  <c r="G9" i="32"/>
  <c r="G10" i="32"/>
  <c r="G11" i="32"/>
  <c r="G12" i="32"/>
  <c r="G13" i="32"/>
  <c r="G14" i="32"/>
  <c r="G15" i="32"/>
  <c r="G16" i="32"/>
  <c r="G17" i="32"/>
  <c r="G18" i="32"/>
  <c r="G19" i="32"/>
  <c r="G20" i="32"/>
  <c r="G21" i="32"/>
  <c r="G22" i="32"/>
  <c r="G23" i="32"/>
  <c r="G24" i="32"/>
  <c r="G25" i="32"/>
  <c r="G26" i="32"/>
  <c r="G8" i="32"/>
  <c r="F8" i="32" s="1"/>
  <c r="G5" i="32"/>
  <c r="G6" i="32"/>
  <c r="G4" i="32"/>
  <c r="BB9" i="24"/>
  <c r="BB28" i="24" s="1"/>
  <c r="BB11" i="24"/>
  <c r="BB30" i="24" s="1"/>
  <c r="BB16" i="24"/>
  <c r="BB35" i="24" s="1"/>
  <c r="AV9" i="24"/>
  <c r="AV28" i="24" s="1"/>
  <c r="AV11" i="24"/>
  <c r="AV30" i="24" s="1"/>
  <c r="AV16" i="24"/>
  <c r="AV35" i="24" s="1"/>
  <c r="AY9" i="24"/>
  <c r="AY28" i="24" s="1"/>
  <c r="AY11" i="24"/>
  <c r="AY30" i="24" s="1"/>
  <c r="AY16" i="24"/>
  <c r="AY35" i="24" s="1"/>
  <c r="F164" i="32" l="1"/>
  <c r="F159" i="32"/>
  <c r="F170" i="32"/>
  <c r="F157" i="32"/>
  <c r="F158" i="32"/>
  <c r="F160" i="32"/>
  <c r="F161" i="32"/>
  <c r="F162" i="32"/>
  <c r="F163" i="32"/>
  <c r="F165" i="32"/>
  <c r="F166" i="32"/>
  <c r="F167" i="32"/>
  <c r="F168" i="32"/>
  <c r="F169" i="32"/>
  <c r="F171" i="32"/>
  <c r="F172" i="32"/>
  <c r="F173" i="32"/>
  <c r="F174" i="32"/>
  <c r="F156" i="32"/>
  <c r="AU14" i="24" l="1"/>
  <c r="AU33" i="24" s="1"/>
  <c r="AX14" i="24"/>
  <c r="AX33" i="24" s="1"/>
  <c r="BA14" i="24"/>
  <c r="BA33" i="24" s="1"/>
  <c r="BB15" i="24"/>
  <c r="BB34" i="24" s="1"/>
  <c r="AV15" i="24"/>
  <c r="AV34" i="24" s="1"/>
  <c r="AY15" i="24"/>
  <c r="AY34" i="24" s="1"/>
  <c r="AT14" i="24"/>
  <c r="AW14" i="24"/>
  <c r="AZ14" i="24"/>
  <c r="BA15" i="24"/>
  <c r="BA34" i="24" s="1"/>
  <c r="AU15" i="24"/>
  <c r="AU34" i="24" s="1"/>
  <c r="AX15" i="24"/>
  <c r="AX34" i="24" s="1"/>
  <c r="AY14" i="24"/>
  <c r="AY33" i="24" s="1"/>
  <c r="AV14" i="24"/>
  <c r="AV33" i="24" s="1"/>
  <c r="BB14" i="24"/>
  <c r="BB33" i="24" s="1"/>
  <c r="AT15" i="24"/>
  <c r="AW15" i="24"/>
  <c r="AZ15" i="24"/>
  <c r="M41" i="24"/>
  <c r="N41" i="24"/>
  <c r="O41" i="24"/>
  <c r="P41" i="24"/>
  <c r="Q41" i="24"/>
  <c r="M42" i="24"/>
  <c r="N42" i="24"/>
  <c r="O42" i="24"/>
  <c r="P42" i="24"/>
  <c r="Q42" i="24"/>
  <c r="M43" i="24"/>
  <c r="N43" i="24"/>
  <c r="O43" i="24"/>
  <c r="P43" i="24"/>
  <c r="Q43" i="24"/>
  <c r="M44" i="24"/>
  <c r="N44" i="24"/>
  <c r="O44" i="24"/>
  <c r="P44" i="24"/>
  <c r="Q44" i="24"/>
  <c r="M45" i="24"/>
  <c r="N45" i="24"/>
  <c r="O45" i="24"/>
  <c r="P45" i="24"/>
  <c r="Q45" i="24"/>
  <c r="F41" i="24"/>
  <c r="G41" i="24"/>
  <c r="H41" i="24"/>
  <c r="F42" i="24"/>
  <c r="G42" i="24"/>
  <c r="H42" i="24"/>
  <c r="F43" i="24"/>
  <c r="G43" i="24"/>
  <c r="H43" i="24"/>
  <c r="F44" i="24"/>
  <c r="G44" i="24"/>
  <c r="H44" i="24"/>
  <c r="F45" i="24"/>
  <c r="G45" i="24"/>
  <c r="H45" i="24"/>
  <c r="E41" i="24"/>
  <c r="E42" i="24"/>
  <c r="E43" i="24"/>
  <c r="E44" i="24"/>
  <c r="E45" i="24"/>
  <c r="D41" i="24"/>
  <c r="D42" i="24"/>
  <c r="D43" i="24"/>
  <c r="D44" i="24"/>
  <c r="D45" i="24"/>
  <c r="D40" i="24"/>
  <c r="BF54" i="24" l="1"/>
  <c r="BE54" i="24"/>
  <c r="BG55" i="24"/>
  <c r="BE55" i="24"/>
  <c r="BF55" i="24"/>
  <c r="BG54" i="24"/>
  <c r="BG14" i="24"/>
  <c r="BG33" i="24"/>
  <c r="AW33" i="24"/>
  <c r="AT33" i="24"/>
  <c r="BF14" i="24"/>
  <c r="BF33" i="24"/>
  <c r="AZ34" i="24"/>
  <c r="BH15" i="24"/>
  <c r="BI15" i="24" s="1"/>
  <c r="BH34" i="24"/>
  <c r="BI34" i="24" s="1"/>
  <c r="AW34" i="24"/>
  <c r="BG34" i="24"/>
  <c r="BG15" i="24"/>
  <c r="AZ33" i="24"/>
  <c r="BH14" i="24"/>
  <c r="BI14" i="24" s="1"/>
  <c r="BH33" i="24"/>
  <c r="BI33" i="24" s="1"/>
  <c r="BF15" i="24"/>
  <c r="BF34" i="24"/>
  <c r="AT34" i="24"/>
  <c r="I42" i="24"/>
  <c r="Z41" i="24"/>
  <c r="W41" i="24"/>
  <c r="V44" i="24"/>
  <c r="V42" i="24"/>
  <c r="V41" i="24"/>
  <c r="I43" i="24"/>
  <c r="Y41" i="24"/>
  <c r="I45" i="24"/>
  <c r="I44" i="24"/>
  <c r="V45" i="24"/>
  <c r="R43" i="24"/>
  <c r="R45" i="24"/>
  <c r="W43" i="24"/>
  <c r="W45" i="24"/>
  <c r="V43" i="24"/>
  <c r="I41" i="24"/>
  <c r="R41" i="24"/>
  <c r="Z44" i="24"/>
  <c r="Z42" i="24"/>
  <c r="Y44" i="24"/>
  <c r="Y42" i="24"/>
  <c r="Y45" i="24"/>
  <c r="Z43" i="24"/>
  <c r="Z45" i="24"/>
  <c r="Y43" i="24"/>
  <c r="W42" i="24"/>
  <c r="W44" i="24"/>
  <c r="X41" i="24"/>
  <c r="X43" i="24"/>
  <c r="X45" i="24"/>
  <c r="X42" i="24"/>
  <c r="X44" i="24"/>
  <c r="R42" i="24"/>
  <c r="R44" i="24"/>
  <c r="AA43" i="24" l="1"/>
  <c r="K38" i="23" s="1"/>
  <c r="AA42" i="24"/>
  <c r="AD130" i="24" s="1"/>
  <c r="AA44" i="24"/>
  <c r="AD106" i="24" s="1"/>
  <c r="AA45" i="24"/>
  <c r="AD107" i="24" s="1"/>
  <c r="AA41" i="24"/>
  <c r="AG13" i="24"/>
  <c r="AG14" i="24" s="1"/>
  <c r="AF4" i="24" s="1"/>
  <c r="AF17" i="24"/>
  <c r="AF15" i="24"/>
  <c r="AF14" i="24"/>
  <c r="AF9" i="24"/>
  <c r="AF8" i="24"/>
  <c r="B193" i="37"/>
  <c r="C193" i="37" s="1"/>
  <c r="B194" i="37"/>
  <c r="C194" i="37" s="1"/>
  <c r="B195" i="37"/>
  <c r="C195" i="37" s="1"/>
  <c r="B196" i="37"/>
  <c r="C196" i="37" s="1"/>
  <c r="B197" i="37"/>
  <c r="C197" i="37" s="1"/>
  <c r="B198" i="37"/>
  <c r="C198" i="37" s="1"/>
  <c r="B199" i="37"/>
  <c r="C199" i="37" s="1"/>
  <c r="B200" i="37"/>
  <c r="C200" i="37" s="1"/>
  <c r="B201" i="37"/>
  <c r="C201" i="37" s="1"/>
  <c r="B202" i="37"/>
  <c r="C202" i="37" s="1"/>
  <c r="B203" i="37"/>
  <c r="C203" i="37" s="1"/>
  <c r="AD105" i="24" l="1"/>
  <c r="K42" i="23"/>
  <c r="AD62" i="24"/>
  <c r="K39" i="23"/>
  <c r="K40" i="23"/>
  <c r="AD57" i="24"/>
  <c r="K41" i="23"/>
  <c r="AD129" i="24"/>
  <c r="AF13" i="24"/>
  <c r="AF12" i="24"/>
  <c r="AF5" i="24"/>
  <c r="AF6" i="24"/>
  <c r="AF7" i="24"/>
  <c r="AF10" i="24"/>
  <c r="B162" i="37"/>
  <c r="C162" i="37" s="1"/>
  <c r="B157" i="37"/>
  <c r="C157" i="37" s="1"/>
  <c r="F66" i="32"/>
  <c r="F191" i="32"/>
  <c r="B189" i="37" s="1"/>
  <c r="C189" i="37" s="1"/>
  <c r="F190" i="32"/>
  <c r="B188" i="37" s="1"/>
  <c r="C188" i="37" s="1"/>
  <c r="B168" i="37"/>
  <c r="C168" i="37" s="1"/>
  <c r="F155" i="32"/>
  <c r="B153" i="37" s="1"/>
  <c r="C153" i="37" s="1"/>
  <c r="F148" i="32"/>
  <c r="F119" i="32"/>
  <c r="B117" i="37" s="1"/>
  <c r="C117" i="37" s="1"/>
  <c r="F117" i="32"/>
  <c r="B115" i="37" s="1"/>
  <c r="C115" i="37" s="1"/>
  <c r="F116" i="32"/>
  <c r="B114" i="37" s="1"/>
  <c r="C114" i="37" s="1"/>
  <c r="F113" i="32"/>
  <c r="B111" i="37" s="1"/>
  <c r="C111" i="37" s="1"/>
  <c r="F114" i="32"/>
  <c r="B112" i="37" s="1"/>
  <c r="C112" i="37" s="1"/>
  <c r="F112" i="32"/>
  <c r="B110" i="37" s="1"/>
  <c r="C110" i="37" s="1"/>
  <c r="F57" i="32"/>
  <c r="B55" i="37" s="1"/>
  <c r="C55" i="37" s="1"/>
  <c r="F70" i="32"/>
  <c r="B68" i="37" s="1"/>
  <c r="C68" i="37" s="1"/>
  <c r="F68" i="32"/>
  <c r="B66" i="37" s="1"/>
  <c r="C66" i="37" s="1"/>
  <c r="F83" i="32"/>
  <c r="B81" i="37" s="1"/>
  <c r="C81" i="37" s="1"/>
  <c r="F82" i="32"/>
  <c r="B80" i="37" s="1"/>
  <c r="C80" i="37" s="1"/>
  <c r="F56" i="32"/>
  <c r="B54" i="37" s="1"/>
  <c r="C54" i="37" s="1"/>
  <c r="F27" i="32"/>
  <c r="B25" i="37" s="1"/>
  <c r="C25" i="37" s="1"/>
  <c r="F7" i="32"/>
  <c r="B5" i="37" s="1"/>
  <c r="C5" i="37" s="1"/>
  <c r="F87" i="32"/>
  <c r="B85" i="37" s="1"/>
  <c r="C85" i="37" s="1"/>
  <c r="F86" i="32"/>
  <c r="B84" i="37" s="1"/>
  <c r="C84" i="37" s="1"/>
  <c r="F146" i="32"/>
  <c r="B144" i="37" s="1"/>
  <c r="C144" i="37" s="1"/>
  <c r="F139" i="32"/>
  <c r="B137" i="37" s="1"/>
  <c r="C137" i="37" s="1"/>
  <c r="F6" i="32"/>
  <c r="B4" i="37" s="1"/>
  <c r="C4" i="37" s="1"/>
  <c r="B6" i="37"/>
  <c r="C6" i="37" s="1"/>
  <c r="F9" i="32"/>
  <c r="B7" i="37" s="1"/>
  <c r="C7" i="37" s="1"/>
  <c r="F10" i="32"/>
  <c r="B8" i="37" s="1"/>
  <c r="C8" i="37" s="1"/>
  <c r="F11" i="32"/>
  <c r="B9" i="37" s="1"/>
  <c r="C9" i="37" s="1"/>
  <c r="F12" i="32"/>
  <c r="B10" i="37" s="1"/>
  <c r="C10" i="37" s="1"/>
  <c r="F13" i="32"/>
  <c r="B11" i="37" s="1"/>
  <c r="C11" i="37" s="1"/>
  <c r="F14" i="32"/>
  <c r="B12" i="37" s="1"/>
  <c r="C12" i="37" s="1"/>
  <c r="F15" i="32"/>
  <c r="B13" i="37" s="1"/>
  <c r="C13" i="37" s="1"/>
  <c r="F16" i="32"/>
  <c r="B14" i="37" s="1"/>
  <c r="C14" i="37" s="1"/>
  <c r="F17" i="32"/>
  <c r="B15" i="37" s="1"/>
  <c r="C15" i="37" s="1"/>
  <c r="F18" i="32"/>
  <c r="B16" i="37" s="1"/>
  <c r="C16" i="37" s="1"/>
  <c r="F19" i="32"/>
  <c r="B17" i="37" s="1"/>
  <c r="C17" i="37" s="1"/>
  <c r="F20" i="32"/>
  <c r="B18" i="37" s="1"/>
  <c r="C18" i="37" s="1"/>
  <c r="F21" i="32"/>
  <c r="B19" i="37" s="1"/>
  <c r="C19" i="37" s="1"/>
  <c r="F22" i="32"/>
  <c r="F23" i="32"/>
  <c r="B21" i="37" s="1"/>
  <c r="C21" i="37" s="1"/>
  <c r="F24" i="32"/>
  <c r="B22" i="37" s="1"/>
  <c r="C22" i="37" s="1"/>
  <c r="F25" i="32"/>
  <c r="B23" i="37" s="1"/>
  <c r="C23" i="37" s="1"/>
  <c r="F26" i="32"/>
  <c r="B24" i="37" s="1"/>
  <c r="C24" i="37" s="1"/>
  <c r="F28" i="32"/>
  <c r="B26" i="37" s="1"/>
  <c r="C26" i="37" s="1"/>
  <c r="F29" i="32"/>
  <c r="B27" i="37" s="1"/>
  <c r="C27" i="37" s="1"/>
  <c r="F30" i="32"/>
  <c r="F31" i="32"/>
  <c r="B29" i="37" s="1"/>
  <c r="C29" i="37" s="1"/>
  <c r="F32" i="32"/>
  <c r="F33" i="32"/>
  <c r="B31" i="37" s="1"/>
  <c r="C31" i="37" s="1"/>
  <c r="F34" i="32"/>
  <c r="B32" i="37" s="1"/>
  <c r="C32" i="37" s="1"/>
  <c r="F35" i="32"/>
  <c r="F36" i="32"/>
  <c r="B34" i="37" s="1"/>
  <c r="C34" i="37" s="1"/>
  <c r="F37" i="32"/>
  <c r="B35" i="37" s="1"/>
  <c r="C35" i="37" s="1"/>
  <c r="F38" i="32"/>
  <c r="F39" i="32"/>
  <c r="B37" i="37" s="1"/>
  <c r="C37" i="37" s="1"/>
  <c r="F40" i="32"/>
  <c r="B38" i="37" s="1"/>
  <c r="C38" i="37" s="1"/>
  <c r="F41" i="32"/>
  <c r="B39" i="37" s="1"/>
  <c r="C39" i="37" s="1"/>
  <c r="F42" i="32"/>
  <c r="B40" i="37" s="1"/>
  <c r="C40" i="37" s="1"/>
  <c r="F43" i="32"/>
  <c r="B41" i="37" s="1"/>
  <c r="C41" i="37" s="1"/>
  <c r="F44" i="32"/>
  <c r="B42" i="37" s="1"/>
  <c r="C42" i="37" s="1"/>
  <c r="F45" i="32"/>
  <c r="B43" i="37" s="1"/>
  <c r="C43" i="37" s="1"/>
  <c r="F46" i="32"/>
  <c r="B44" i="37" s="1"/>
  <c r="C44" i="37" s="1"/>
  <c r="F47" i="32"/>
  <c r="B45" i="37" s="1"/>
  <c r="C45" i="37" s="1"/>
  <c r="F48" i="32"/>
  <c r="B46" i="37" s="1"/>
  <c r="C46" i="37" s="1"/>
  <c r="F49" i="32"/>
  <c r="B47" i="37" s="1"/>
  <c r="C47" i="37" s="1"/>
  <c r="F50" i="32"/>
  <c r="B48" i="37" s="1"/>
  <c r="C48" i="37" s="1"/>
  <c r="F51" i="32"/>
  <c r="B49" i="37" s="1"/>
  <c r="C49" i="37" s="1"/>
  <c r="F52" i="32"/>
  <c r="F53" i="32"/>
  <c r="B51" i="37" s="1"/>
  <c r="C51" i="37" s="1"/>
  <c r="F54" i="32"/>
  <c r="B52" i="37" s="1"/>
  <c r="C52" i="37" s="1"/>
  <c r="F55" i="32"/>
  <c r="F58" i="32"/>
  <c r="B56" i="37" s="1"/>
  <c r="C56" i="37" s="1"/>
  <c r="F59" i="32"/>
  <c r="B57" i="37" s="1"/>
  <c r="C57" i="37" s="1"/>
  <c r="F60" i="32"/>
  <c r="B58" i="37" s="1"/>
  <c r="C58" i="37" s="1"/>
  <c r="F61" i="32"/>
  <c r="B59" i="37" s="1"/>
  <c r="C59" i="37" s="1"/>
  <c r="F62" i="32"/>
  <c r="B60" i="37" s="1"/>
  <c r="C60" i="37" s="1"/>
  <c r="F63" i="32"/>
  <c r="F64" i="32"/>
  <c r="B62" i="37" s="1"/>
  <c r="C62" i="37" s="1"/>
  <c r="F65" i="32"/>
  <c r="F67" i="32"/>
  <c r="B65" i="37" s="1"/>
  <c r="C65" i="37" s="1"/>
  <c r="F69" i="32"/>
  <c r="B67" i="37" s="1"/>
  <c r="C67" i="37" s="1"/>
  <c r="F71" i="32"/>
  <c r="B69" i="37" s="1"/>
  <c r="C69" i="37" s="1"/>
  <c r="F72" i="32"/>
  <c r="B70" i="37" s="1"/>
  <c r="C70" i="37" s="1"/>
  <c r="F73" i="32"/>
  <c r="B72" i="37"/>
  <c r="C72" i="37" s="1"/>
  <c r="F75" i="32"/>
  <c r="B73" i="37" s="1"/>
  <c r="C73" i="37" s="1"/>
  <c r="F76" i="32"/>
  <c r="B74" i="37" s="1"/>
  <c r="C74" i="37" s="1"/>
  <c r="F77" i="32"/>
  <c r="B75" i="37" s="1"/>
  <c r="C75" i="37" s="1"/>
  <c r="F78" i="32"/>
  <c r="B76" i="37" s="1"/>
  <c r="C76" i="37" s="1"/>
  <c r="F79" i="32"/>
  <c r="F80" i="32"/>
  <c r="B78" i="37" s="1"/>
  <c r="C78" i="37" s="1"/>
  <c r="F81" i="32"/>
  <c r="B79" i="37" s="1"/>
  <c r="C79" i="37" s="1"/>
  <c r="F84" i="32"/>
  <c r="F85" i="32"/>
  <c r="F88" i="32"/>
  <c r="B86" i="37" s="1"/>
  <c r="C86" i="37" s="1"/>
  <c r="F89" i="32"/>
  <c r="B87" i="37" s="1"/>
  <c r="C87" i="37" s="1"/>
  <c r="F90" i="32"/>
  <c r="B88" i="37" s="1"/>
  <c r="C88" i="37" s="1"/>
  <c r="F91" i="32"/>
  <c r="F92" i="32"/>
  <c r="B90" i="37" s="1"/>
  <c r="C90" i="37" s="1"/>
  <c r="F93" i="32"/>
  <c r="B91" i="37" s="1"/>
  <c r="C91" i="37" s="1"/>
  <c r="F94" i="32"/>
  <c r="F95" i="32"/>
  <c r="B93" i="37" s="1"/>
  <c r="C93" i="37" s="1"/>
  <c r="F96" i="32"/>
  <c r="B94" i="37" s="1"/>
  <c r="C94" i="37" s="1"/>
  <c r="F97" i="32"/>
  <c r="B95" i="37" s="1"/>
  <c r="C95" i="37" s="1"/>
  <c r="F98" i="32"/>
  <c r="B96" i="37" s="1"/>
  <c r="C96" i="37" s="1"/>
  <c r="F99" i="32"/>
  <c r="B97" i="37" s="1"/>
  <c r="C97" i="37" s="1"/>
  <c r="F100" i="32"/>
  <c r="B98" i="37" s="1"/>
  <c r="C98" i="37" s="1"/>
  <c r="F101" i="32"/>
  <c r="B99" i="37" s="1"/>
  <c r="C99" i="37" s="1"/>
  <c r="F102" i="32"/>
  <c r="B100" i="37" s="1"/>
  <c r="C100" i="37" s="1"/>
  <c r="F103" i="32"/>
  <c r="B101" i="37" s="1"/>
  <c r="C101" i="37" s="1"/>
  <c r="F104" i="32"/>
  <c r="F105" i="32"/>
  <c r="B103" i="37" s="1"/>
  <c r="C103" i="37" s="1"/>
  <c r="F106" i="32"/>
  <c r="B104" i="37" s="1"/>
  <c r="C104" i="37" s="1"/>
  <c r="F107" i="32"/>
  <c r="F108" i="32"/>
  <c r="B106" i="37" s="1"/>
  <c r="C106" i="37" s="1"/>
  <c r="F109" i="32"/>
  <c r="B107" i="37" s="1"/>
  <c r="C107" i="37" s="1"/>
  <c r="F110" i="32"/>
  <c r="B108" i="37" s="1"/>
  <c r="C108" i="37" s="1"/>
  <c r="F111" i="32"/>
  <c r="F115" i="32"/>
  <c r="B113" i="37" s="1"/>
  <c r="C113" i="37" s="1"/>
  <c r="F118" i="32"/>
  <c r="B116" i="37" s="1"/>
  <c r="C116" i="37" s="1"/>
  <c r="F120" i="32"/>
  <c r="F121" i="32"/>
  <c r="B119" i="37" s="1"/>
  <c r="C119" i="37" s="1"/>
  <c r="F122" i="32"/>
  <c r="B120" i="37" s="1"/>
  <c r="C120" i="37" s="1"/>
  <c r="F123" i="32"/>
  <c r="B121" i="37" s="1"/>
  <c r="C121" i="37" s="1"/>
  <c r="F124" i="32"/>
  <c r="B122" i="37" s="1"/>
  <c r="C122" i="37" s="1"/>
  <c r="F125" i="32"/>
  <c r="B123" i="37" s="1"/>
  <c r="C123" i="37" s="1"/>
  <c r="F126" i="32"/>
  <c r="B124" i="37" s="1"/>
  <c r="C124" i="37" s="1"/>
  <c r="F127" i="32"/>
  <c r="F128" i="32"/>
  <c r="B126" i="37" s="1"/>
  <c r="C126" i="37" s="1"/>
  <c r="F129" i="32"/>
  <c r="B127" i="37" s="1"/>
  <c r="C127" i="37" s="1"/>
  <c r="F130" i="32"/>
  <c r="B128" i="37" s="1"/>
  <c r="C128" i="37" s="1"/>
  <c r="F131" i="32"/>
  <c r="B129" i="37" s="1"/>
  <c r="C129" i="37" s="1"/>
  <c r="F132" i="32"/>
  <c r="B130" i="37" s="1"/>
  <c r="C130" i="37" s="1"/>
  <c r="F133" i="32"/>
  <c r="B131" i="37" s="1"/>
  <c r="C131" i="37" s="1"/>
  <c r="F134" i="32"/>
  <c r="B132" i="37" s="1"/>
  <c r="C132" i="37" s="1"/>
  <c r="F135" i="32"/>
  <c r="B133" i="37" s="1"/>
  <c r="C133" i="37" s="1"/>
  <c r="F136" i="32"/>
  <c r="B134" i="37" s="1"/>
  <c r="C134" i="37" s="1"/>
  <c r="F137" i="32"/>
  <c r="B135" i="37" s="1"/>
  <c r="C135" i="37" s="1"/>
  <c r="F138" i="32"/>
  <c r="F140" i="32"/>
  <c r="F141" i="32"/>
  <c r="F142" i="32"/>
  <c r="F143" i="32"/>
  <c r="B141" i="37" s="1"/>
  <c r="C141" i="37" s="1"/>
  <c r="F144" i="32"/>
  <c r="B142" i="37" s="1"/>
  <c r="C142" i="37" s="1"/>
  <c r="F145" i="32"/>
  <c r="B143" i="37" s="1"/>
  <c r="C143" i="37" s="1"/>
  <c r="F147" i="32"/>
  <c r="F149" i="32"/>
  <c r="B147" i="37" s="1"/>
  <c r="C147" i="37" s="1"/>
  <c r="F150" i="32"/>
  <c r="F151" i="32"/>
  <c r="B149" i="37" s="1"/>
  <c r="C149" i="37" s="1"/>
  <c r="F152" i="32"/>
  <c r="B150" i="37" s="1"/>
  <c r="C150" i="37" s="1"/>
  <c r="F153" i="32"/>
  <c r="B151" i="37" s="1"/>
  <c r="C151" i="37" s="1"/>
  <c r="F154" i="32"/>
  <c r="B154" i="37"/>
  <c r="C154" i="37" s="1"/>
  <c r="B155" i="37"/>
  <c r="C155" i="37" s="1"/>
  <c r="B156" i="37"/>
  <c r="C156" i="37" s="1"/>
  <c r="B158" i="37"/>
  <c r="C158" i="37" s="1"/>
  <c r="B159" i="37"/>
  <c r="C159" i="37" s="1"/>
  <c r="B160" i="37"/>
  <c r="C160" i="37" s="1"/>
  <c r="B161" i="37"/>
  <c r="C161" i="37" s="1"/>
  <c r="B163" i="37"/>
  <c r="C163" i="37" s="1"/>
  <c r="B164" i="37"/>
  <c r="C164" i="37" s="1"/>
  <c r="B165" i="37"/>
  <c r="C165" i="37" s="1"/>
  <c r="B166" i="37"/>
  <c r="C166" i="37" s="1"/>
  <c r="B167" i="37"/>
  <c r="C167" i="37" s="1"/>
  <c r="B169" i="37"/>
  <c r="C169" i="37" s="1"/>
  <c r="B170" i="37"/>
  <c r="C170" i="37" s="1"/>
  <c r="B171" i="37"/>
  <c r="C171" i="37" s="1"/>
  <c r="B172" i="37"/>
  <c r="C172" i="37" s="1"/>
  <c r="F175" i="32"/>
  <c r="F176" i="32"/>
  <c r="B174" i="37" s="1"/>
  <c r="C174" i="37" s="1"/>
  <c r="F177" i="32"/>
  <c r="B175" i="37" s="1"/>
  <c r="C175" i="37" s="1"/>
  <c r="F178" i="32"/>
  <c r="B176" i="37" s="1"/>
  <c r="C176" i="37" s="1"/>
  <c r="F179" i="32"/>
  <c r="B177" i="37" s="1"/>
  <c r="C177" i="37" s="1"/>
  <c r="F180" i="32"/>
  <c r="B178" i="37" s="1"/>
  <c r="C178" i="37" s="1"/>
  <c r="F181" i="32"/>
  <c r="F182" i="32"/>
  <c r="B180" i="37" s="1"/>
  <c r="C180" i="37" s="1"/>
  <c r="F183" i="32"/>
  <c r="B181" i="37" s="1"/>
  <c r="C181" i="37" s="1"/>
  <c r="F184" i="32"/>
  <c r="B182" i="37" s="1"/>
  <c r="C182" i="37" s="1"/>
  <c r="F185" i="32"/>
  <c r="F186" i="32"/>
  <c r="B184" i="37" s="1"/>
  <c r="C184" i="37" s="1"/>
  <c r="F187" i="32"/>
  <c r="B185" i="37" s="1"/>
  <c r="C185" i="37" s="1"/>
  <c r="F188" i="32"/>
  <c r="F189" i="32"/>
  <c r="B187" i="37" s="1"/>
  <c r="C187" i="37" s="1"/>
  <c r="F192" i="32"/>
  <c r="F193" i="32"/>
  <c r="B191" i="37" s="1"/>
  <c r="C191" i="37" s="1"/>
  <c r="F194" i="32"/>
  <c r="B192" i="37" s="1"/>
  <c r="C192" i="37" s="1"/>
  <c r="B139" i="37" l="1"/>
  <c r="C139" i="37" s="1"/>
  <c r="B138" i="37"/>
  <c r="C138" i="37" s="1"/>
  <c r="B183" i="37"/>
  <c r="C183" i="37" s="1"/>
  <c r="AZ17" i="24"/>
  <c r="AT17" i="24"/>
  <c r="AW17" i="24"/>
  <c r="B53" i="37"/>
  <c r="C53" i="37" s="1"/>
  <c r="AU6" i="24"/>
  <c r="AU25" i="24" s="1"/>
  <c r="AX6" i="24"/>
  <c r="AX25" i="24" s="1"/>
  <c r="BA6" i="24"/>
  <c r="BA25" i="24" s="1"/>
  <c r="B64" i="37"/>
  <c r="C64" i="37" s="1"/>
  <c r="BA7" i="24"/>
  <c r="BA26" i="24" s="1"/>
  <c r="AU7" i="24"/>
  <c r="AU26" i="24" s="1"/>
  <c r="AX7" i="24"/>
  <c r="AX26" i="24" s="1"/>
  <c r="B140" i="37"/>
  <c r="C140" i="37" s="1"/>
  <c r="AU12" i="24"/>
  <c r="AU31" i="24" s="1"/>
  <c r="BA12" i="24"/>
  <c r="BA31" i="24" s="1"/>
  <c r="AX12" i="24"/>
  <c r="AX31" i="24" s="1"/>
  <c r="B109" i="37"/>
  <c r="C109" i="37" s="1"/>
  <c r="AY10" i="24"/>
  <c r="AY29" i="24" s="1"/>
  <c r="AV10" i="24"/>
  <c r="AV29" i="24" s="1"/>
  <c r="BB10" i="24"/>
  <c r="BB29" i="24" s="1"/>
  <c r="B83" i="37"/>
  <c r="C83" i="37" s="1"/>
  <c r="BB8" i="24"/>
  <c r="BB27" i="24" s="1"/>
  <c r="AV8" i="24"/>
  <c r="AV27" i="24" s="1"/>
  <c r="AY8" i="24"/>
  <c r="AY27" i="24" s="1"/>
  <c r="B28" i="37"/>
  <c r="C28" i="37" s="1"/>
  <c r="AY4" i="24"/>
  <c r="BB4" i="24"/>
  <c r="AV4" i="24"/>
  <c r="B82" i="37"/>
  <c r="C82" i="37" s="1"/>
  <c r="BA8" i="24"/>
  <c r="BA27" i="24" s="1"/>
  <c r="AU8" i="24"/>
  <c r="AU27" i="24" s="1"/>
  <c r="AX8" i="24"/>
  <c r="AX27" i="24" s="1"/>
  <c r="B152" i="37"/>
  <c r="C152" i="37" s="1"/>
  <c r="AY13" i="24"/>
  <c r="AY32" i="24" s="1"/>
  <c r="BB13" i="24"/>
  <c r="BB32" i="24" s="1"/>
  <c r="AV13" i="24"/>
  <c r="AV32" i="24" s="1"/>
  <c r="B125" i="37"/>
  <c r="C125" i="37" s="1"/>
  <c r="BA11" i="24"/>
  <c r="BA30" i="24" s="1"/>
  <c r="AX11" i="24"/>
  <c r="AX30" i="24" s="1"/>
  <c r="AU11" i="24"/>
  <c r="AU30" i="24" s="1"/>
  <c r="B179" i="37"/>
  <c r="C179" i="37" s="1"/>
  <c r="BA16" i="24"/>
  <c r="BA35" i="24" s="1"/>
  <c r="AX16" i="24"/>
  <c r="AX35" i="24" s="1"/>
  <c r="AU16" i="24"/>
  <c r="AU35" i="24" s="1"/>
  <c r="B63" i="37"/>
  <c r="C63" i="37" s="1"/>
  <c r="AZ7" i="24"/>
  <c r="AT7" i="24"/>
  <c r="AW7" i="24"/>
  <c r="B105" i="37"/>
  <c r="C105" i="37" s="1"/>
  <c r="AU10" i="24"/>
  <c r="AU29" i="24" s="1"/>
  <c r="AX10" i="24"/>
  <c r="AX29" i="24" s="1"/>
  <c r="BA10" i="24"/>
  <c r="BA29" i="24" s="1"/>
  <c r="B77" i="37"/>
  <c r="C77" i="37" s="1"/>
  <c r="AZ8" i="24"/>
  <c r="AT8" i="24"/>
  <c r="AW8" i="24"/>
  <c r="B36" i="37"/>
  <c r="C36" i="37" s="1"/>
  <c r="AV5" i="24"/>
  <c r="AV24" i="24" s="1"/>
  <c r="AY5" i="24"/>
  <c r="AY24" i="24" s="1"/>
  <c r="BB5" i="24"/>
  <c r="BB24" i="24" s="1"/>
  <c r="B92" i="37"/>
  <c r="C92" i="37" s="1"/>
  <c r="AX9" i="24"/>
  <c r="AX28" i="24" s="1"/>
  <c r="BA9" i="24"/>
  <c r="BA28" i="24" s="1"/>
  <c r="AU9" i="24"/>
  <c r="AU28" i="24" s="1"/>
  <c r="B61" i="37"/>
  <c r="C61" i="37" s="1"/>
  <c r="AV6" i="24"/>
  <c r="AV25" i="24" s="1"/>
  <c r="AY6" i="24"/>
  <c r="AY25" i="24" s="1"/>
  <c r="BB6" i="24"/>
  <c r="BB25" i="24" s="1"/>
  <c r="B190" i="37"/>
  <c r="C190" i="37" s="1"/>
  <c r="AY17" i="24"/>
  <c r="AY36" i="24" s="1"/>
  <c r="BB17" i="24"/>
  <c r="BB36" i="24" s="1"/>
  <c r="AV17" i="24"/>
  <c r="AV36" i="24" s="1"/>
  <c r="B148" i="37"/>
  <c r="C148" i="37" s="1"/>
  <c r="AX13" i="24"/>
  <c r="AX32" i="24" s="1"/>
  <c r="AU13" i="24"/>
  <c r="AU32" i="24" s="1"/>
  <c r="BA13" i="24"/>
  <c r="BA32" i="24" s="1"/>
  <c r="B146" i="37"/>
  <c r="C146" i="37" s="1"/>
  <c r="AZ13" i="24"/>
  <c r="AT13" i="24"/>
  <c r="AW13" i="24"/>
  <c r="B102" i="37"/>
  <c r="C102" i="37" s="1"/>
  <c r="AT10" i="24"/>
  <c r="AW10" i="24"/>
  <c r="AZ10" i="24"/>
  <c r="B33" i="37"/>
  <c r="C33" i="37" s="1"/>
  <c r="AX5" i="24"/>
  <c r="AX24" i="24" s="1"/>
  <c r="BA5" i="24"/>
  <c r="BA24" i="24" s="1"/>
  <c r="AU5" i="24"/>
  <c r="AU24" i="24" s="1"/>
  <c r="B20" i="37"/>
  <c r="C20" i="37" s="1"/>
  <c r="AU4" i="24"/>
  <c r="BA4" i="24"/>
  <c r="AX4" i="24"/>
  <c r="B50" i="37"/>
  <c r="C50" i="37" s="1"/>
  <c r="AT6" i="24"/>
  <c r="AW6" i="24"/>
  <c r="AZ6" i="24"/>
  <c r="B136" i="37"/>
  <c r="C136" i="37" s="1"/>
  <c r="AZ12" i="24"/>
  <c r="AT12" i="24"/>
  <c r="AW12" i="24"/>
  <c r="B145" i="37"/>
  <c r="C145" i="37" s="1"/>
  <c r="BB12" i="24"/>
  <c r="BB31" i="24" s="1"/>
  <c r="AV12" i="24"/>
  <c r="AV31" i="24" s="1"/>
  <c r="AY12" i="24"/>
  <c r="AY31" i="24" s="1"/>
  <c r="B89" i="37"/>
  <c r="C89" i="37" s="1"/>
  <c r="AZ9" i="24"/>
  <c r="AT9" i="24"/>
  <c r="AW9" i="24"/>
  <c r="B186" i="37"/>
  <c r="C186" i="37" s="1"/>
  <c r="BA17" i="24"/>
  <c r="BA36" i="24" s="1"/>
  <c r="AU17" i="24"/>
  <c r="AU36" i="24" s="1"/>
  <c r="AX17" i="24"/>
  <c r="AX36" i="24" s="1"/>
  <c r="B173" i="37"/>
  <c r="C173" i="37" s="1"/>
  <c r="AZ16" i="24"/>
  <c r="AT16" i="24"/>
  <c r="AW16" i="24"/>
  <c r="B118" i="37"/>
  <c r="C118" i="37" s="1"/>
  <c r="AZ11" i="24"/>
  <c r="AT11" i="24"/>
  <c r="AW11" i="24"/>
  <c r="B71" i="37"/>
  <c r="C71" i="37" s="1"/>
  <c r="BB7" i="24"/>
  <c r="BB26" i="24" s="1"/>
  <c r="AV7" i="24"/>
  <c r="AV26" i="24" s="1"/>
  <c r="AY7" i="24"/>
  <c r="AY26" i="24" s="1"/>
  <c r="B30" i="37"/>
  <c r="C30" i="37" s="1"/>
  <c r="AW5" i="24"/>
  <c r="AZ5" i="24"/>
  <c r="AT5" i="24"/>
  <c r="F5" i="32"/>
  <c r="B3" i="37" s="1"/>
  <c r="C3" i="37" s="1"/>
  <c r="F4" i="32"/>
  <c r="M5" i="24"/>
  <c r="N5" i="24"/>
  <c r="O5" i="24"/>
  <c r="P5" i="24"/>
  <c r="Q5" i="24"/>
  <c r="M6" i="24"/>
  <c r="N6" i="24"/>
  <c r="O6" i="24"/>
  <c r="P6" i="24"/>
  <c r="Q6" i="24"/>
  <c r="M7" i="24"/>
  <c r="N7" i="24"/>
  <c r="O7" i="24"/>
  <c r="P7" i="24"/>
  <c r="Q7" i="24"/>
  <c r="M8" i="24"/>
  <c r="N8" i="24"/>
  <c r="O8" i="24"/>
  <c r="P8" i="24"/>
  <c r="Q8" i="24"/>
  <c r="M9" i="24"/>
  <c r="N9" i="24"/>
  <c r="O9" i="24"/>
  <c r="P9" i="24"/>
  <c r="Q9" i="24"/>
  <c r="M10" i="24"/>
  <c r="N10" i="24"/>
  <c r="O10" i="24"/>
  <c r="P10" i="24"/>
  <c r="Q10" i="24"/>
  <c r="M11" i="24"/>
  <c r="N11" i="24"/>
  <c r="O11" i="24"/>
  <c r="P11" i="24"/>
  <c r="Q11" i="24"/>
  <c r="M12" i="24"/>
  <c r="N12" i="24"/>
  <c r="O12" i="24"/>
  <c r="P12" i="24"/>
  <c r="Q12" i="24"/>
  <c r="M13" i="24"/>
  <c r="N13" i="24"/>
  <c r="O13" i="24"/>
  <c r="P13" i="24"/>
  <c r="Q13" i="24"/>
  <c r="M14" i="24"/>
  <c r="N14" i="24"/>
  <c r="O14" i="24"/>
  <c r="P14" i="24"/>
  <c r="Q14" i="24"/>
  <c r="M15" i="24"/>
  <c r="N15" i="24"/>
  <c r="O15" i="24"/>
  <c r="P15" i="24"/>
  <c r="Q15" i="24"/>
  <c r="M16" i="24"/>
  <c r="N16" i="24"/>
  <c r="O16" i="24"/>
  <c r="P16" i="24"/>
  <c r="Q16" i="24"/>
  <c r="M17" i="24"/>
  <c r="N17" i="24"/>
  <c r="O17" i="24"/>
  <c r="P17" i="24"/>
  <c r="Q17" i="24"/>
  <c r="M18" i="24"/>
  <c r="N18" i="24"/>
  <c r="O18" i="24"/>
  <c r="P18" i="24"/>
  <c r="Q18" i="24"/>
  <c r="M19" i="24"/>
  <c r="N19" i="24"/>
  <c r="O19" i="24"/>
  <c r="P19" i="24"/>
  <c r="Q19" i="24"/>
  <c r="M20" i="24"/>
  <c r="N20" i="24"/>
  <c r="O20" i="24"/>
  <c r="P20" i="24"/>
  <c r="Q20" i="24"/>
  <c r="M21" i="24"/>
  <c r="N21" i="24"/>
  <c r="O21" i="24"/>
  <c r="P21" i="24"/>
  <c r="Q21" i="24"/>
  <c r="M22" i="24"/>
  <c r="N22" i="24"/>
  <c r="O22" i="24"/>
  <c r="P22" i="24"/>
  <c r="Q22" i="24"/>
  <c r="M23" i="24"/>
  <c r="N23" i="24"/>
  <c r="O23" i="24"/>
  <c r="P23" i="24"/>
  <c r="Q23" i="24"/>
  <c r="M24" i="24"/>
  <c r="N24" i="24"/>
  <c r="O24" i="24"/>
  <c r="P24" i="24"/>
  <c r="Q24" i="24"/>
  <c r="M25" i="24"/>
  <c r="N25" i="24"/>
  <c r="O25" i="24"/>
  <c r="P25" i="24"/>
  <c r="Q25" i="24"/>
  <c r="M26" i="24"/>
  <c r="N26" i="24"/>
  <c r="O26" i="24"/>
  <c r="P26" i="24"/>
  <c r="Q26" i="24"/>
  <c r="M27" i="24"/>
  <c r="N27" i="24"/>
  <c r="O27" i="24"/>
  <c r="P27" i="24"/>
  <c r="Q27" i="24"/>
  <c r="M28" i="24"/>
  <c r="N28" i="24"/>
  <c r="O28" i="24"/>
  <c r="P28" i="24"/>
  <c r="Q28" i="24"/>
  <c r="M29" i="24"/>
  <c r="N29" i="24"/>
  <c r="O29" i="24"/>
  <c r="P29" i="24"/>
  <c r="Q29" i="24"/>
  <c r="M30" i="24"/>
  <c r="N30" i="24"/>
  <c r="O30" i="24"/>
  <c r="P30" i="24"/>
  <c r="Q30" i="24"/>
  <c r="M31" i="24"/>
  <c r="N31" i="24"/>
  <c r="O31" i="24"/>
  <c r="P31" i="24"/>
  <c r="Q31" i="24"/>
  <c r="M32" i="24"/>
  <c r="N32" i="24"/>
  <c r="O32" i="24"/>
  <c r="P32" i="24"/>
  <c r="Q32" i="24"/>
  <c r="M33" i="24"/>
  <c r="N33" i="24"/>
  <c r="O33" i="24"/>
  <c r="P33" i="24"/>
  <c r="Q33" i="24"/>
  <c r="M34" i="24"/>
  <c r="N34" i="24"/>
  <c r="O34" i="24"/>
  <c r="P34" i="24"/>
  <c r="Q34" i="24"/>
  <c r="M35" i="24"/>
  <c r="N35" i="24"/>
  <c r="O35" i="24"/>
  <c r="P35" i="24"/>
  <c r="Q35" i="24"/>
  <c r="M36" i="24"/>
  <c r="N36" i="24"/>
  <c r="O36" i="24"/>
  <c r="P36" i="24"/>
  <c r="Q36" i="24"/>
  <c r="M37" i="24"/>
  <c r="N37" i="24"/>
  <c r="O37" i="24"/>
  <c r="P37" i="24"/>
  <c r="Q37" i="24"/>
  <c r="M38" i="24"/>
  <c r="N38" i="24"/>
  <c r="O38" i="24"/>
  <c r="P38" i="24"/>
  <c r="Q38" i="24"/>
  <c r="M39" i="24"/>
  <c r="N39" i="24"/>
  <c r="O39" i="24"/>
  <c r="P39" i="24"/>
  <c r="Q39" i="24"/>
  <c r="M40" i="24"/>
  <c r="V40" i="24" s="1"/>
  <c r="AA40" i="24" s="1"/>
  <c r="N40" i="24"/>
  <c r="O40" i="24"/>
  <c r="P40" i="24"/>
  <c r="Q40" i="24"/>
  <c r="N4" i="24"/>
  <c r="O4" i="24"/>
  <c r="P4" i="24"/>
  <c r="Q4" i="24"/>
  <c r="D5" i="24"/>
  <c r="E5" i="24"/>
  <c r="F5" i="24"/>
  <c r="G5" i="24"/>
  <c r="H5" i="24"/>
  <c r="D6" i="24"/>
  <c r="E6" i="24"/>
  <c r="F6" i="24"/>
  <c r="G6" i="24"/>
  <c r="H6" i="24"/>
  <c r="D7" i="24"/>
  <c r="E7" i="24"/>
  <c r="F7" i="24"/>
  <c r="G7" i="24"/>
  <c r="H7" i="24"/>
  <c r="D8" i="24"/>
  <c r="E8" i="24"/>
  <c r="F8" i="24"/>
  <c r="G8" i="24"/>
  <c r="H8" i="24"/>
  <c r="D9" i="24"/>
  <c r="E9" i="24"/>
  <c r="F9" i="24"/>
  <c r="G9" i="24"/>
  <c r="H9" i="24"/>
  <c r="D10" i="24"/>
  <c r="E10" i="24"/>
  <c r="F10" i="24"/>
  <c r="G10" i="24"/>
  <c r="H10" i="24"/>
  <c r="D11" i="24"/>
  <c r="E11" i="24"/>
  <c r="F11" i="24"/>
  <c r="G11" i="24"/>
  <c r="H11" i="24"/>
  <c r="D12" i="24"/>
  <c r="E12" i="24"/>
  <c r="F12" i="24"/>
  <c r="G12" i="24"/>
  <c r="H12" i="24"/>
  <c r="D13" i="24"/>
  <c r="E13" i="24"/>
  <c r="F13" i="24"/>
  <c r="G13" i="24"/>
  <c r="H13" i="24"/>
  <c r="D14" i="24"/>
  <c r="E14" i="24"/>
  <c r="F14" i="24"/>
  <c r="G14" i="24"/>
  <c r="H14" i="24"/>
  <c r="D15" i="24"/>
  <c r="E15" i="24"/>
  <c r="F15" i="24"/>
  <c r="G15" i="24"/>
  <c r="H15" i="24"/>
  <c r="D16" i="24"/>
  <c r="E16" i="24"/>
  <c r="F16" i="24"/>
  <c r="G16" i="24"/>
  <c r="H16" i="24"/>
  <c r="D17" i="24"/>
  <c r="E17" i="24"/>
  <c r="F17" i="24"/>
  <c r="G17" i="24"/>
  <c r="H17" i="24"/>
  <c r="D18" i="24"/>
  <c r="E18" i="24"/>
  <c r="F18" i="24"/>
  <c r="G18" i="24"/>
  <c r="H18" i="24"/>
  <c r="D19" i="24"/>
  <c r="E19" i="24"/>
  <c r="F19" i="24"/>
  <c r="G19" i="24"/>
  <c r="H19" i="24"/>
  <c r="D20" i="24"/>
  <c r="E20" i="24"/>
  <c r="F20" i="24"/>
  <c r="G20" i="24"/>
  <c r="H20" i="24"/>
  <c r="D21" i="24"/>
  <c r="E21" i="24"/>
  <c r="F21" i="24"/>
  <c r="G21" i="24"/>
  <c r="H21" i="24"/>
  <c r="D22" i="24"/>
  <c r="E22" i="24"/>
  <c r="F22" i="24"/>
  <c r="G22" i="24"/>
  <c r="H22" i="24"/>
  <c r="D23" i="24"/>
  <c r="E23" i="24"/>
  <c r="F23" i="24"/>
  <c r="G23" i="24"/>
  <c r="H23" i="24"/>
  <c r="D24" i="24"/>
  <c r="E24" i="24"/>
  <c r="F24" i="24"/>
  <c r="G24" i="24"/>
  <c r="H24" i="24"/>
  <c r="D25" i="24"/>
  <c r="E25" i="24"/>
  <c r="F25" i="24"/>
  <c r="G25" i="24"/>
  <c r="H25" i="24"/>
  <c r="D26" i="24"/>
  <c r="E26" i="24"/>
  <c r="F26" i="24"/>
  <c r="G26" i="24"/>
  <c r="H26" i="24"/>
  <c r="D27" i="24"/>
  <c r="E27" i="24"/>
  <c r="F27" i="24"/>
  <c r="G27" i="24"/>
  <c r="H27" i="24"/>
  <c r="D28" i="24"/>
  <c r="E28" i="24"/>
  <c r="F28" i="24"/>
  <c r="G28" i="24"/>
  <c r="H28" i="24"/>
  <c r="D29" i="24"/>
  <c r="E29" i="24"/>
  <c r="F29" i="24"/>
  <c r="G29" i="24"/>
  <c r="H29" i="24"/>
  <c r="D30" i="24"/>
  <c r="E30" i="24"/>
  <c r="F30" i="24"/>
  <c r="G30" i="24"/>
  <c r="H30" i="24"/>
  <c r="D31" i="24"/>
  <c r="E31" i="24"/>
  <c r="F31" i="24"/>
  <c r="G31" i="24"/>
  <c r="H31" i="24"/>
  <c r="D32" i="24"/>
  <c r="E32" i="24"/>
  <c r="F32" i="24"/>
  <c r="G32" i="24"/>
  <c r="H32" i="24"/>
  <c r="D33" i="24"/>
  <c r="E33" i="24"/>
  <c r="F33" i="24"/>
  <c r="G33" i="24"/>
  <c r="H33" i="24"/>
  <c r="D34" i="24"/>
  <c r="E34" i="24"/>
  <c r="F34" i="24"/>
  <c r="G34" i="24"/>
  <c r="H34" i="24"/>
  <c r="D35" i="24"/>
  <c r="E35" i="24"/>
  <c r="F35" i="24"/>
  <c r="G35" i="24"/>
  <c r="H35" i="24"/>
  <c r="D36" i="24"/>
  <c r="E36" i="24"/>
  <c r="F36" i="24"/>
  <c r="G36" i="24"/>
  <c r="H36" i="24"/>
  <c r="D37" i="24"/>
  <c r="E37" i="24"/>
  <c r="F37" i="24"/>
  <c r="G37" i="24"/>
  <c r="H37" i="24"/>
  <c r="D38" i="24"/>
  <c r="E38" i="24"/>
  <c r="F38" i="24"/>
  <c r="G38" i="24"/>
  <c r="H38" i="24"/>
  <c r="D39" i="24"/>
  <c r="E39" i="24"/>
  <c r="F39" i="24"/>
  <c r="G39" i="24"/>
  <c r="H39" i="24"/>
  <c r="E40" i="24"/>
  <c r="F40" i="24"/>
  <c r="G40" i="24"/>
  <c r="H40" i="24"/>
  <c r="E4" i="24"/>
  <c r="F4" i="24"/>
  <c r="G4" i="24"/>
  <c r="H4" i="24"/>
  <c r="B2" i="37" l="1"/>
  <c r="C2" i="37" s="1"/>
  <c r="BG56" i="24"/>
  <c r="BG51" i="24"/>
  <c r="BF56" i="24"/>
  <c r="BE46" i="24"/>
  <c r="BE50" i="24"/>
  <c r="BG47" i="24"/>
  <c r="BG45" i="24"/>
  <c r="BE48" i="24"/>
  <c r="BF48" i="24"/>
  <c r="BF45" i="24"/>
  <c r="BF51" i="24"/>
  <c r="BF46" i="24"/>
  <c r="BF50" i="24"/>
  <c r="BG46" i="24"/>
  <c r="BG50" i="24"/>
  <c r="BF47" i="24"/>
  <c r="BE47" i="24"/>
  <c r="BE56" i="24"/>
  <c r="BE53" i="24"/>
  <c r="BF53" i="24"/>
  <c r="BG53" i="24"/>
  <c r="BG48" i="24"/>
  <c r="BE45" i="24"/>
  <c r="BF49" i="24"/>
  <c r="BF52" i="24"/>
  <c r="BF57" i="24"/>
  <c r="BE49" i="24"/>
  <c r="BE52" i="24"/>
  <c r="BE57" i="24"/>
  <c r="BG49" i="24"/>
  <c r="BG52" i="24"/>
  <c r="BG57" i="24"/>
  <c r="BE51" i="24"/>
  <c r="AZ24" i="24"/>
  <c r="BH24" i="24"/>
  <c r="BI24" i="24" s="1"/>
  <c r="BH5" i="24"/>
  <c r="AT35" i="24"/>
  <c r="BF16" i="24"/>
  <c r="BF35" i="24"/>
  <c r="BA23" i="24"/>
  <c r="BA18" i="24"/>
  <c r="AT32" i="24"/>
  <c r="BF32" i="24"/>
  <c r="BF13" i="24"/>
  <c r="AT27" i="24"/>
  <c r="BF8" i="24"/>
  <c r="BF27" i="24"/>
  <c r="BG24" i="24"/>
  <c r="BG5" i="24"/>
  <c r="AW24" i="24"/>
  <c r="AZ35" i="24"/>
  <c r="BH35" i="24"/>
  <c r="BI35" i="24" s="1"/>
  <c r="BH16" i="24"/>
  <c r="BI16" i="24" s="1"/>
  <c r="AU23" i="24"/>
  <c r="AU18" i="24"/>
  <c r="AZ32" i="24"/>
  <c r="BH32" i="24"/>
  <c r="BI32" i="24" s="1"/>
  <c r="BH13" i="24"/>
  <c r="BI13" i="24" s="1"/>
  <c r="AZ27" i="24"/>
  <c r="BH27" i="24"/>
  <c r="BI27" i="24" s="1"/>
  <c r="BH8" i="24"/>
  <c r="BI8" i="24" s="1"/>
  <c r="AW4" i="24"/>
  <c r="AW18" i="24" s="1"/>
  <c r="AT4" i="24"/>
  <c r="AT23" i="24" s="1"/>
  <c r="AZ4" i="24"/>
  <c r="AX23" i="24"/>
  <c r="AX18" i="24"/>
  <c r="AW30" i="24"/>
  <c r="BG30" i="24"/>
  <c r="BG11" i="24"/>
  <c r="AW26" i="24"/>
  <c r="BG26" i="24"/>
  <c r="BG7" i="24"/>
  <c r="BF30" i="24"/>
  <c r="BF11" i="24"/>
  <c r="AT30" i="24"/>
  <c r="AT26" i="24"/>
  <c r="BF26" i="24"/>
  <c r="BF7" i="24"/>
  <c r="AZ28" i="24"/>
  <c r="BH28" i="24"/>
  <c r="BI28" i="24" s="1"/>
  <c r="BH9" i="24"/>
  <c r="BI9" i="24" s="1"/>
  <c r="AW35" i="24"/>
  <c r="BG16" i="24"/>
  <c r="BG35" i="24"/>
  <c r="AW31" i="24"/>
  <c r="BG31" i="24"/>
  <c r="BG12" i="24"/>
  <c r="AV23" i="24"/>
  <c r="AV18" i="24"/>
  <c r="AW36" i="24"/>
  <c r="BG17" i="24"/>
  <c r="BG36" i="24"/>
  <c r="AZ25" i="24"/>
  <c r="BH6" i="24"/>
  <c r="BI6" i="24" s="1"/>
  <c r="BH25" i="24"/>
  <c r="BI25" i="24" s="1"/>
  <c r="AW29" i="24"/>
  <c r="BG29" i="24"/>
  <c r="BG10" i="24"/>
  <c r="AT31" i="24"/>
  <c r="BF12" i="24"/>
  <c r="BF31" i="24"/>
  <c r="BB23" i="24"/>
  <c r="BB18" i="24"/>
  <c r="AT36" i="24"/>
  <c r="BF17" i="24"/>
  <c r="BF36" i="24"/>
  <c r="BF25" i="24"/>
  <c r="BF6" i="24"/>
  <c r="AT25" i="24"/>
  <c r="AT24" i="24"/>
  <c r="BF5" i="24"/>
  <c r="BF24" i="24"/>
  <c r="AW27" i="24"/>
  <c r="BG8" i="24"/>
  <c r="BG27" i="24"/>
  <c r="AZ31" i="24"/>
  <c r="BH31" i="24"/>
  <c r="BI31" i="24" s="1"/>
  <c r="BH12" i="24"/>
  <c r="BI12" i="24" s="1"/>
  <c r="AY23" i="24"/>
  <c r="AY18" i="24"/>
  <c r="AZ36" i="24"/>
  <c r="BH36" i="24"/>
  <c r="BI36" i="24" s="1"/>
  <c r="BH17" i="24"/>
  <c r="BI17" i="24" s="1"/>
  <c r="AW28" i="24"/>
  <c r="BG28" i="24"/>
  <c r="BG9" i="24"/>
  <c r="AZ29" i="24"/>
  <c r="BH10" i="24"/>
  <c r="BI10" i="24" s="1"/>
  <c r="BH29" i="24"/>
  <c r="BI29" i="24" s="1"/>
  <c r="BF9" i="24"/>
  <c r="AT28" i="24"/>
  <c r="BF28" i="24"/>
  <c r="AW25" i="24"/>
  <c r="BG25" i="24"/>
  <c r="BG6" i="24"/>
  <c r="AZ30" i="24"/>
  <c r="BH11" i="24"/>
  <c r="BI11" i="24" s="1"/>
  <c r="BH30" i="24"/>
  <c r="BI30" i="24" s="1"/>
  <c r="BF10" i="24"/>
  <c r="BF29" i="24"/>
  <c r="AT29" i="24"/>
  <c r="AZ26" i="24"/>
  <c r="BH7" i="24"/>
  <c r="BI7" i="24" s="1"/>
  <c r="BH26" i="24"/>
  <c r="BI26" i="24" s="1"/>
  <c r="AW32" i="24"/>
  <c r="BG13" i="24"/>
  <c r="BG32" i="24"/>
  <c r="K24" i="23"/>
  <c r="I40" i="24"/>
  <c r="V4" i="24"/>
  <c r="W32" i="24"/>
  <c r="V25" i="24"/>
  <c r="Y22" i="24"/>
  <c r="X15" i="24"/>
  <c r="V13" i="24"/>
  <c r="Y34" i="24"/>
  <c r="Y4" i="24"/>
  <c r="W39" i="24"/>
  <c r="Z36" i="24"/>
  <c r="X34" i="24"/>
  <c r="V32" i="24"/>
  <c r="Y29" i="24"/>
  <c r="W27" i="24"/>
  <c r="Z24" i="24"/>
  <c r="X22" i="24"/>
  <c r="V20" i="24"/>
  <c r="Y17" i="24"/>
  <c r="W15" i="24"/>
  <c r="Z12" i="24"/>
  <c r="X10" i="24"/>
  <c r="V8" i="24"/>
  <c r="Y5" i="24"/>
  <c r="X4" i="24"/>
  <c r="V39" i="24"/>
  <c r="Y36" i="24"/>
  <c r="W34" i="24"/>
  <c r="Z31" i="24"/>
  <c r="X29" i="24"/>
  <c r="V27" i="24"/>
  <c r="Y24" i="24"/>
  <c r="W22" i="24"/>
  <c r="Z19" i="24"/>
  <c r="X17" i="24"/>
  <c r="V15" i="24"/>
  <c r="Y12" i="24"/>
  <c r="W10" i="24"/>
  <c r="Z7" i="24"/>
  <c r="X5" i="24"/>
  <c r="V34" i="24"/>
  <c r="Y31" i="24"/>
  <c r="W29" i="24"/>
  <c r="Z26" i="24"/>
  <c r="W4" i="24"/>
  <c r="Z38" i="24"/>
  <c r="X36" i="24"/>
  <c r="Z4" i="24"/>
  <c r="X39" i="24"/>
  <c r="V37" i="24"/>
  <c r="Z29" i="24"/>
  <c r="X27" i="24"/>
  <c r="W20" i="24"/>
  <c r="Z17" i="24"/>
  <c r="Y10" i="24"/>
  <c r="W8" i="24"/>
  <c r="Z5" i="24"/>
  <c r="Y38" i="24"/>
  <c r="W36" i="24"/>
  <c r="Z33" i="24"/>
  <c r="X31" i="24"/>
  <c r="V29" i="24"/>
  <c r="Y26" i="24"/>
  <c r="W24" i="24"/>
  <c r="Z21" i="24"/>
  <c r="X19" i="24"/>
  <c r="V17" i="24"/>
  <c r="Y14" i="24"/>
  <c r="W12" i="24"/>
  <c r="Z9" i="24"/>
  <c r="X7" i="24"/>
  <c r="V5" i="24"/>
  <c r="Z40" i="24"/>
  <c r="X38" i="24"/>
  <c r="V36" i="24"/>
  <c r="Y33" i="24"/>
  <c r="W31" i="24"/>
  <c r="Z28" i="24"/>
  <c r="X26" i="24"/>
  <c r="V24" i="24"/>
  <c r="Y21" i="24"/>
  <c r="W19" i="24"/>
  <c r="Z16" i="24"/>
  <c r="X14" i="24"/>
  <c r="V12" i="24"/>
  <c r="Y9" i="24"/>
  <c r="W7" i="24"/>
  <c r="Y40" i="24"/>
  <c r="W38" i="24"/>
  <c r="Z35" i="24"/>
  <c r="X33" i="24"/>
  <c r="V31" i="24"/>
  <c r="Y28" i="24"/>
  <c r="W26" i="24"/>
  <c r="Z23" i="24"/>
  <c r="X21" i="24"/>
  <c r="V19" i="24"/>
  <c r="Y16" i="24"/>
  <c r="W14" i="24"/>
  <c r="Z11" i="24"/>
  <c r="X9" i="24"/>
  <c r="V7" i="24"/>
  <c r="V22" i="24"/>
  <c r="Y19" i="24"/>
  <c r="W17" i="24"/>
  <c r="Z14" i="24"/>
  <c r="X12" i="24"/>
  <c r="V10" i="24"/>
  <c r="Y7" i="24"/>
  <c r="W5" i="24"/>
  <c r="Y35" i="24"/>
  <c r="W33" i="24"/>
  <c r="Z30" i="24"/>
  <c r="X28" i="24"/>
  <c r="Y23" i="24"/>
  <c r="W21" i="24"/>
  <c r="Z18" i="24"/>
  <c r="X16" i="24"/>
  <c r="Y11" i="24"/>
  <c r="W9" i="24"/>
  <c r="Z6" i="24"/>
  <c r="X24" i="24"/>
  <c r="W40" i="24"/>
  <c r="Z37" i="24"/>
  <c r="X35" i="24"/>
  <c r="V33" i="24"/>
  <c r="Y30" i="24"/>
  <c r="W28" i="24"/>
  <c r="Z25" i="24"/>
  <c r="X23" i="24"/>
  <c r="V21" i="24"/>
  <c r="Y18" i="24"/>
  <c r="W16" i="24"/>
  <c r="Z13" i="24"/>
  <c r="X11" i="24"/>
  <c r="V9" i="24"/>
  <c r="Y6" i="24"/>
  <c r="X40" i="24"/>
  <c r="AD111" i="24"/>
  <c r="Y37" i="24"/>
  <c r="W35" i="24"/>
  <c r="Z32" i="24"/>
  <c r="X30" i="24"/>
  <c r="V28" i="24"/>
  <c r="Y25" i="24"/>
  <c r="W23" i="24"/>
  <c r="Z20" i="24"/>
  <c r="X18" i="24"/>
  <c r="V16" i="24"/>
  <c r="Y13" i="24"/>
  <c r="W11" i="24"/>
  <c r="Z8" i="24"/>
  <c r="X6" i="24"/>
  <c r="Z39" i="24"/>
  <c r="X37" i="24"/>
  <c r="Y32" i="24"/>
  <c r="W30" i="24"/>
  <c r="Z27" i="24"/>
  <c r="X25" i="24"/>
  <c r="V23" i="24"/>
  <c r="Y20" i="24"/>
  <c r="W18" i="24"/>
  <c r="Z15" i="24"/>
  <c r="X13" i="24"/>
  <c r="V11" i="24"/>
  <c r="Y8" i="24"/>
  <c r="W6" i="24"/>
  <c r="Y39" i="24"/>
  <c r="W37" i="24"/>
  <c r="Z34" i="24"/>
  <c r="X32" i="24"/>
  <c r="V30" i="24"/>
  <c r="Y27" i="24"/>
  <c r="W25" i="24"/>
  <c r="Z22" i="24"/>
  <c r="X20" i="24"/>
  <c r="V18" i="24"/>
  <c r="AA18" i="24" s="1"/>
  <c r="Y15" i="24"/>
  <c r="W13" i="24"/>
  <c r="Z10" i="24"/>
  <c r="X8" i="24"/>
  <c r="V6" i="24"/>
  <c r="R35" i="24"/>
  <c r="V35" i="24"/>
  <c r="R38" i="24"/>
  <c r="R26" i="24"/>
  <c r="R14" i="24"/>
  <c r="R23" i="24"/>
  <c r="V38" i="24"/>
  <c r="V26" i="24"/>
  <c r="V14" i="24"/>
  <c r="R11" i="24"/>
  <c r="R27" i="24"/>
  <c r="R18" i="24"/>
  <c r="R15" i="24"/>
  <c r="R6" i="24"/>
  <c r="R30" i="24"/>
  <c r="R20" i="24"/>
  <c r="R25" i="24"/>
  <c r="R39" i="24"/>
  <c r="R13" i="24"/>
  <c r="R32" i="24"/>
  <c r="R8" i="24"/>
  <c r="R10" i="24"/>
  <c r="R29" i="24"/>
  <c r="R17" i="24"/>
  <c r="R5" i="24"/>
  <c r="R9" i="24"/>
  <c r="R31" i="24"/>
  <c r="R19" i="24"/>
  <c r="R7" i="24"/>
  <c r="R37" i="24"/>
  <c r="R36" i="24"/>
  <c r="R24" i="24"/>
  <c r="R12" i="24"/>
  <c r="R4" i="24"/>
  <c r="R34" i="24"/>
  <c r="R22" i="24"/>
  <c r="R33" i="24"/>
  <c r="R21" i="24"/>
  <c r="R40" i="24"/>
  <c r="R28" i="24"/>
  <c r="R16" i="24"/>
  <c r="I38" i="24"/>
  <c r="I14" i="24"/>
  <c r="I35" i="24"/>
  <c r="I11" i="24"/>
  <c r="I26" i="24"/>
  <c r="I23" i="24"/>
  <c r="I29" i="24"/>
  <c r="I17" i="24"/>
  <c r="I5" i="24"/>
  <c r="I25" i="24"/>
  <c r="I13" i="24"/>
  <c r="I12" i="24"/>
  <c r="I7" i="24"/>
  <c r="I20" i="24"/>
  <c r="I8" i="24"/>
  <c r="I36" i="24"/>
  <c r="I24" i="24"/>
  <c r="I22" i="24"/>
  <c r="I10" i="24"/>
  <c r="I31" i="24"/>
  <c r="I19" i="24"/>
  <c r="I33" i="24"/>
  <c r="I30" i="24"/>
  <c r="I21" i="24"/>
  <c r="I18" i="24"/>
  <c r="I9" i="24"/>
  <c r="I6" i="24"/>
  <c r="I37" i="24"/>
  <c r="I32" i="24"/>
  <c r="I34" i="24"/>
  <c r="I28" i="24"/>
  <c r="I16" i="24"/>
  <c r="I4" i="24"/>
  <c r="I39" i="24"/>
  <c r="I27" i="24"/>
  <c r="I15" i="24"/>
  <c r="AA24" i="24" l="1"/>
  <c r="AA26" i="24"/>
  <c r="K17" i="23" s="1"/>
  <c r="AA34" i="24"/>
  <c r="AA32" i="24"/>
  <c r="AA33" i="24"/>
  <c r="AA31" i="24"/>
  <c r="AA25" i="24"/>
  <c r="AA16" i="24"/>
  <c r="AA17" i="24"/>
  <c r="AA30" i="24"/>
  <c r="AA37" i="24"/>
  <c r="AA29" i="24"/>
  <c r="AA38" i="24"/>
  <c r="AA19" i="24"/>
  <c r="AD85" i="24" s="1"/>
  <c r="AA15" i="24"/>
  <c r="AD68" i="24" s="1"/>
  <c r="AA11" i="24"/>
  <c r="K25" i="23" s="1"/>
  <c r="AA23" i="24"/>
  <c r="AA7" i="24"/>
  <c r="AA5" i="24"/>
  <c r="AU46" i="24"/>
  <c r="AU52" i="24"/>
  <c r="AS45" i="24"/>
  <c r="AS51" i="24"/>
  <c r="AT45" i="24"/>
  <c r="AT51" i="24"/>
  <c r="AS46" i="24"/>
  <c r="AS52" i="24"/>
  <c r="AU45" i="24"/>
  <c r="AU51" i="24"/>
  <c r="AT44" i="24"/>
  <c r="AT50" i="24"/>
  <c r="AT46" i="24"/>
  <c r="AT52" i="24"/>
  <c r="AA20" i="24"/>
  <c r="BH23" i="24"/>
  <c r="BG44" i="24"/>
  <c r="BF23" i="24"/>
  <c r="BF37" i="24" s="1"/>
  <c r="BE44" i="24"/>
  <c r="BF44" i="24"/>
  <c r="BG23" i="24"/>
  <c r="BG37" i="24" s="1"/>
  <c r="BH4" i="24"/>
  <c r="AZ23" i="24"/>
  <c r="AZ18" i="24"/>
  <c r="BF4" i="24"/>
  <c r="AT18" i="24"/>
  <c r="AW23" i="24"/>
  <c r="BG4" i="24"/>
  <c r="BI5" i="24"/>
  <c r="AD71" i="24"/>
  <c r="K16" i="23"/>
  <c r="I46" i="24"/>
  <c r="R46" i="24"/>
  <c r="AA22" i="24"/>
  <c r="AA21" i="24"/>
  <c r="AA36" i="24"/>
  <c r="AA39" i="24"/>
  <c r="AD58" i="24" s="1"/>
  <c r="AA14" i="24"/>
  <c r="AA13" i="24"/>
  <c r="AA27" i="24"/>
  <c r="AA35" i="24"/>
  <c r="AA28" i="24"/>
  <c r="AA4" i="24"/>
  <c r="AA8" i="24"/>
  <c r="AA10" i="24"/>
  <c r="AA12" i="24"/>
  <c r="AA9" i="24"/>
  <c r="AA6" i="24"/>
  <c r="AD134" i="24" l="1"/>
  <c r="K21" i="23"/>
  <c r="AD120" i="24"/>
  <c r="K31" i="23"/>
  <c r="AD91" i="24"/>
  <c r="AD89" i="24"/>
  <c r="AD54" i="24"/>
  <c r="K29" i="23"/>
  <c r="K30" i="23"/>
  <c r="AD90" i="24"/>
  <c r="K12" i="23"/>
  <c r="AD82" i="24"/>
  <c r="AD135" i="24"/>
  <c r="K22" i="23"/>
  <c r="AD63" i="24"/>
  <c r="K11" i="23"/>
  <c r="K14" i="23"/>
  <c r="AD69" i="24"/>
  <c r="K15" i="23"/>
  <c r="AD70" i="24"/>
  <c r="AD52" i="24"/>
  <c r="AD81" i="24"/>
  <c r="K34" i="23"/>
  <c r="AD116" i="24"/>
  <c r="K10" i="23"/>
  <c r="AD80" i="24"/>
  <c r="AD117" i="24"/>
  <c r="K35" i="23"/>
  <c r="K46" i="23"/>
  <c r="AD50" i="24"/>
  <c r="K13" i="23"/>
  <c r="K20" i="23"/>
  <c r="AD94" i="24"/>
  <c r="AD133" i="24"/>
  <c r="AD77" i="24"/>
  <c r="K9" i="23"/>
  <c r="AD75" i="24"/>
  <c r="K7" i="23"/>
  <c r="AV52" i="24"/>
  <c r="AD53" i="24"/>
  <c r="AV46" i="24"/>
  <c r="AS44" i="24"/>
  <c r="AS50" i="24"/>
  <c r="AV51" i="24"/>
  <c r="AV45" i="24"/>
  <c r="AU44" i="24"/>
  <c r="AU50" i="24"/>
  <c r="K47" i="23"/>
  <c r="AD86" i="24"/>
  <c r="BL22" i="24"/>
  <c r="BL3" i="24"/>
  <c r="BK22" i="24"/>
  <c r="BK3" i="24"/>
  <c r="BI23" i="24"/>
  <c r="BH37" i="24"/>
  <c r="BI4" i="24"/>
  <c r="AD51" i="24"/>
  <c r="AD55" i="24"/>
  <c r="AD59" i="24"/>
  <c r="AD60" i="24"/>
  <c r="AD61" i="24"/>
  <c r="AD56" i="24"/>
  <c r="K23" i="23"/>
  <c r="K43" i="23"/>
  <c r="K37" i="23"/>
  <c r="K6" i="23"/>
  <c r="K36" i="23"/>
  <c r="AD76" i="24"/>
  <c r="K8" i="23"/>
  <c r="AD97" i="24"/>
  <c r="K28" i="23"/>
  <c r="AD101" i="24"/>
  <c r="K44" i="23"/>
  <c r="AD95" i="24"/>
  <c r="K26" i="23"/>
  <c r="AD115" i="24"/>
  <c r="K33" i="23"/>
  <c r="AD102" i="24"/>
  <c r="K45" i="23"/>
  <c r="AD96" i="24"/>
  <c r="K27" i="23"/>
  <c r="AD122" i="24"/>
  <c r="K19" i="23"/>
  <c r="AD114" i="24"/>
  <c r="K32" i="23"/>
  <c r="AD121" i="24"/>
  <c r="K18" i="23"/>
  <c r="AD125" i="24"/>
  <c r="AD126" i="24"/>
  <c r="AD110" i="24"/>
  <c r="AD100" i="24"/>
  <c r="AD74" i="24"/>
  <c r="AO18" i="24"/>
  <c r="AM18" i="24"/>
  <c r="AN18" i="24"/>
  <c r="AV50" i="24" l="1"/>
  <c r="AV44" i="24"/>
  <c r="BM22" i="24"/>
  <c r="BN22" i="24" s="1"/>
  <c r="BM3" i="24"/>
  <c r="AP18" i="24"/>
  <c r="BN3" i="24" l="1"/>
</calcChain>
</file>

<file path=xl/sharedStrings.xml><?xml version="1.0" encoding="utf-8"?>
<sst xmlns="http://schemas.openxmlformats.org/spreadsheetml/2006/main" count="9496" uniqueCount="2651">
  <si>
    <t>Date:</t>
  </si>
  <si>
    <t>Version:</t>
  </si>
  <si>
    <t>Domain Name</t>
  </si>
  <si>
    <t>Domain ID</t>
  </si>
  <si>
    <t>NDI Q#</t>
  </si>
  <si>
    <t>Maturity Level</t>
  </si>
  <si>
    <t>Level No.</t>
  </si>
  <si>
    <t>Evidence</t>
  </si>
  <si>
    <t>Acceptance Criteria</t>
  </si>
  <si>
    <t>Priority</t>
  </si>
  <si>
    <t>NDMO Specifications</t>
  </si>
  <si>
    <t>NDI ID</t>
  </si>
  <si>
    <t>Meets NDI Criteria?</t>
  </si>
  <si>
    <t>Compliance Validation Flag</t>
  </si>
  <si>
    <t>Comments</t>
  </si>
  <si>
    <t>Data Governance</t>
  </si>
  <si>
    <t>DG</t>
  </si>
  <si>
    <t>DG.MQ.1</t>
  </si>
  <si>
    <t>Establishing</t>
  </si>
  <si>
    <t>Existing data-related practices.</t>
  </si>
  <si>
    <t>Attach a report showing current data practices.</t>
  </si>
  <si>
    <t>N/A</t>
  </si>
  <si>
    <t>DG.M.1</t>
  </si>
  <si>
    <t>Yes</t>
  </si>
  <si>
    <t>Defined</t>
  </si>
  <si>
    <t>The approved DM &amp; PDP Strategy.</t>
  </si>
  <si>
    <t>Attach the Data Management and Personal Data Protection (DM &amp; PDP) Strategy which must be approved &amp; includes the following, as a minimum:
 • Current challenges in DM.
• The Strategic requirements including: Internal requirements emanating from the Entity's business strategy and external requirements emanating from the National Strategy for DM &amp; PDP.
• The DM &amp; PDP Vision, Mission, and Strategic Objectives.
• Strategic and operational performance indicators with targets extending from 3 to 5 years over the strategy’s implementation duration.
• The financial budget required to implement the strategy divided according to identified initiatives.</t>
  </si>
  <si>
    <t>P1</t>
  </si>
  <si>
    <t>DG.1.1</t>
  </si>
  <si>
    <t>DG.C.1.1</t>
  </si>
  <si>
    <t>Under Development</t>
  </si>
  <si>
    <t>No</t>
  </si>
  <si>
    <t>The DM guiding principles.</t>
  </si>
  <si>
    <t>Attach a copy of the DM &amp; PDP program guidelines, which may be a part of the Entity's DM &amp; PDP Strategy doc or a separate doc. The guidelines must refer to the principles underlying the culture of DM &amp; Data processing, to enable and spread a unified DM &amp; PDP concept within the Entity itself.</t>
  </si>
  <si>
    <t>DG.1.2</t>
  </si>
  <si>
    <t>DG.C.1.2</t>
  </si>
  <si>
    <t>Data Strategy Approval Decision letter.</t>
  </si>
  <si>
    <t>Attach a copy of the entity-specific data strategy approval decision by the entity’s Data 
Management Committee or the entity’s authority holder</t>
  </si>
  <si>
    <t>DG.1.4</t>
  </si>
  <si>
    <t>DG.C.1.4.1</t>
  </si>
  <si>
    <t>Activated</t>
  </si>
  <si>
    <t>- All level 2 acceptance evidence requirements including: - The developed DM &amp; PDP implementation plan.</t>
  </si>
  <si>
    <t>Attach the implementation plan which must include, as a minimum:
• Identified initiatives that covers all the DM domains.
• A prioritized list of DM initiatives with descriptions.
• A three-year Implementation roadmap to close the gaps identified between the current state and target state.</t>
  </si>
  <si>
    <t>DG.1.3</t>
  </si>
  <si>
    <t>DG.C.1.3</t>
  </si>
  <si>
    <t>Implementation status report.</t>
  </si>
  <si>
    <t>Attach a report of the implementation status of DM and PDP plan, including,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</si>
  <si>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DG.M.2</t>
  </si>
  <si>
    <t>Managed</t>
  </si>
  <si>
    <t xml:space="preserve"> All level 3 acceptance 
evidence requirements 
including: 
- The monitoring report of 
the DM &amp; PDP strategy &amp; 
plan implementation 
based on the defined KPIs
in the strategy &amp; 
implementation plan.</t>
  </si>
  <si>
    <t>The report must be prepared based on the data of the Key Performance Indicators (KPIs) (Indicator Cards) which were Predefined in the DM &amp; PDP strategic plan, and each indicator’s data or card should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</si>
  <si>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DG.M.3</t>
  </si>
  <si>
    <t>Pioneer</t>
  </si>
  <si>
    <t>All level 4 acceptance evidence requirements including: - A report demonstrating the entity's monitoring of the latest DM practices and updating of the implementation plan based on these practices and changes in business requirements.</t>
  </si>
  <si>
    <t>Attach a report showing that the entity identified, implemented and has been monitoring the 
continuous improvement mechanisms for DM &amp; PDP plan.
The report shall include the following:
 The updated DM &amp; PDP strategy.
 The updated DG practices that include the Data Management 
Organization, the roles, the processes, &amp; the technologies.
 The continuous improvement mechanisms for all DM Domains.</t>
  </si>
  <si>
    <t>P2</t>
  </si>
  <si>
    <t>DG.6.1</t>
  </si>
  <si>
    <t>DG.C.6.1</t>
  </si>
  <si>
    <t xml:space="preserve"> A report demonstrating the 
entity's monitoring of the 
latest DM practices and 
updating of the strategy 
based on these practices 
and changes in business 
requirements.</t>
  </si>
  <si>
    <t xml:space="preserve">
Attach a report showing that the entity identified, implemented and has been monitoring the 
continuous improvement mechanisms for DM &amp; PDP strategy.
The report shall include the following:
 The documented periodic DM &amp; PDP reviews &amp; results.
 Documented changes to the initial approved plan where applicable.</t>
  </si>
  <si>
    <t>DG.7.2</t>
  </si>
  <si>
    <t>DG.C.7.2</t>
  </si>
  <si>
    <t>DG.MQ.2</t>
  </si>
  <si>
    <t>The Data Management &amp; Personal Data Protection (DM &amp; PDP) Policies, Controls and Guidelines Gap Analysis document.</t>
  </si>
  <si>
    <t>The gap analysis document shall include the following as a minimum:
• An analysis of DM &amp; PDP Standards and Guidelines established by the National Data Management Office (NDMO).
• Identifying &amp; analyzing all Data-related policies &amp; controls published by the Oversight Entities &amp; the regulator(s) of the sector to which the Entity belongs.
• An analysis of the Entity's internal requirements for DM &amp; PDP Controls.
• Recommendations and suggestions to close the gaps identified as well a specific list of policies that the Entity will develop in line with the Policies published by NDMO-SDAIA.
• A plan to develop DM &amp; PDP policies and controls, clearly presenting the implementation timeline.</t>
  </si>
  <si>
    <t>DG.2.1</t>
  </si>
  <si>
    <t>DG.C.2.1</t>
  </si>
  <si>
    <t>All level 1 acceptance 
evidence requirements 
including: 
- The policies, standards, 
and guidelines developed 
by the entity for all DM 
domains.</t>
  </si>
  <si>
    <t>The entity should develop policies covering all DM domains, as well as standards and 
guidelines as needed. The policies should be approved by the Data Management and 
Governance Committee and every policy’s document shall include, the following, at a 
minimum:
 Policy Name.
 Release date.
 Version number.
 Document control (Preparation, review, approval).
 Version history.
 Terminology.
 Goal.
 Scope of work.
 Guiding Principles
 Policy Statement.
 Job roles &amp; responsibilities.
 Related Policies.
 References.
 Policy Owner.
- The entity should attach the policies approval evidence.</t>
  </si>
  <si>
    <t>DG.2.2</t>
  </si>
  <si>
    <t>DG.C.2.2</t>
  </si>
  <si>
    <t>All level 2 acceptance evidence requirements including: - Implementation status report.</t>
  </si>
  <si>
    <t>Attach the policies implementation status report, showing the percentages of progress in 
developing the processes and procedures related to policy implementation.</t>
  </si>
  <si>
    <t>DG.M.4</t>
  </si>
  <si>
    <t>A document proving the Entity's approval &amp; adoption of the developed policies, standards &amp; guidelines.</t>
  </si>
  <si>
    <t xml:space="preserve">
Attach a report showing the dissemination and communication of all developed policies to 
the relevant stakeholders of each policy (e.g., email notifications sent to relevant stakeholders 
to introduce the approved policies or through the entity’s official portal, etc.).</t>
  </si>
  <si>
    <t>DG.M.5</t>
  </si>
  <si>
    <t>Approved Compliance Management Framework.</t>
  </si>
  <si>
    <t>Attach the Compliance Framework, detailing the following:
• The scope of the compliance audit’s periodic procedure.
• The processes needed to plan and perform the compliance audit procedure.
• The processes &amp; tools needed for reporting a compliance audit results.
• The processes &amp; plans for remediating &amp; escalating non-compliance cases.</t>
  </si>
  <si>
    <t>DG.5.1</t>
  </si>
  <si>
    <t>DG.C.5.1</t>
  </si>
  <si>
    <t>All level 3 acceptance 
evidence requirements 
including: 
- Monitoring reports on the 
developed policies and 
standards, based on the 
pre-defined KPIs related to 
these policies and 
standards, as outlined in 
the DM strategy and 
implementation plan.</t>
  </si>
  <si>
    <t>The entity should attach an updated report, approved by the entity’s authority holder, to 
monitor the performance status of the developed policies and standards based on the 
identified and pre-defined Key Performance Indicators (KPIs) and scorecards.
Each indicator’s card should include the following at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</si>
  <si>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DG.7.1 (3 &amp; 6)</t>
  </si>
  <si>
    <t>DG.C.7.1.1</t>
  </si>
  <si>
    <t>The Entity's Compliance Audit Results Report.</t>
  </si>
  <si>
    <t xml:space="preserve">
Attach a report documenting the results &amp; outputs of each procedure implemented to 
monitor compliance. The compliance report shall include the following, at a minimum:
• Compliance or Non-Compliance with each specification.
• An explanation for compliance results with sufficient evidence for each specification.
• Recommendations to remediate each instance of non-compliance.
• Accountable stakeholder for each recommendation, and the target date to complete the recommendation.</t>
  </si>
  <si>
    <t>DG.5.2</t>
  </si>
  <si>
    <t>DG.C.5.2</t>
  </si>
  <si>
    <t>Compliance Monitoring Report.</t>
  </si>
  <si>
    <t>Attach a report(s) to confirm that the Entity has established and monitored compliance points by implementing a periodic compliance audit procedure. For the report to be accepted, it must be:
• Compliant with the national framework for compliance in data management and governance.
• Include compliance audit scores generated by the periodic compliance audits.</t>
  </si>
  <si>
    <t>DG.5.3</t>
  </si>
  <si>
    <t>DG.C.5.3</t>
  </si>
  <si>
    <t>All level 4 acceptance 
evidence requirements 
including:
- A report demonstrating the 
entity's innovative 
mechanisms for enabling 
compliance monitoring of 
DM &amp; PDP Policies and 
Standards.</t>
  </si>
  <si>
    <t>The entity should attach the continuous improvement report for DM, DG, and PDP policies, 
based on the results of KPI measurements and relevant updates and developments. The 
report should include the following, at a minimum:
 Conducted Reviews.
 Results of each review.
 Implemented improvements (with supporting documents).
 Innovative mechanisms developed by the entity for enabling compliance 
monitoring of DM &amp; PDP policies and standards.</t>
  </si>
  <si>
    <t>DG.M.6</t>
  </si>
  <si>
    <t>DG.MQ.3</t>
  </si>
  <si>
    <t xml:space="preserve"> The Entity's Data 
Management Office 
establishment decision.</t>
  </si>
  <si>
    <t>Attach the decision to establish a Data Management Office to supervise the implementation 
of the national strategy for DM, DG &amp; PDP.
To accept the attachment, the following requirements must be met:
 The decision must be issued by the entity’s authority holder.
 The Office’s responsibilities are documented in line with the 
“Organizational Manual”.</t>
  </si>
  <si>
    <t>DG.4.1</t>
  </si>
  <si>
    <t>DG.C.4.1</t>
  </si>
  <si>
    <t xml:space="preserve"> The appointment/hiring 
decisions for the following 
roles:
A. Chief Data Officer 
(CDO) hiring/ 
appointment decision 
letter.</t>
  </si>
  <si>
    <t>To accept the attachment, the following requirements must be met:
 The decision must be issued by the entity’s authority holder.
 The CDO’s responsibilities are clarified in an approved job description.
 The responsibilities are in line with the “Organizational Manual”.</t>
  </si>
  <si>
    <t>DG.4.3</t>
  </si>
  <si>
    <t>DG.C.4.3</t>
  </si>
  <si>
    <t xml:space="preserve"> The appointment/hiring 
decisions for the following 
roles: 
B. Data Management 
Officer / Data 
Governance Officer 
Hiring / Appointment 
Decision.</t>
  </si>
  <si>
    <t>To accept the attachment, the following requirements must be met:
• The decision must be issued by the Entity’s authority holder.
• The Data Management Officer / Data Governance Officer’s responsibilities are clarified in an approved job description.
• The responsibilities are in line with the "Organizational Manual”.</t>
  </si>
  <si>
    <t>DG.4.4</t>
  </si>
  <si>
    <t>DG.C.4.4</t>
  </si>
  <si>
    <t>All level 1 acceptance 
evidence requirements 
including:
- Data Management &amp; 
Governance Committee 
formation decision.</t>
  </si>
  <si>
    <t>To accept the attachment, the following requirements must be met:
 The decision must be issued by the entity’s authority holder.
 The Committee’s Charter including: 
 Roles and Responsibilities.
 Rules of work for the committee.
The decision letter must include a statement indicating that the committee's tasks involve 
providing guidance and overseeing the DM Strategy at the organizational level.</t>
  </si>
  <si>
    <t>DG.4.2</t>
  </si>
  <si>
    <t>DG.C.4.2</t>
  </si>
  <si>
    <t>The Hiring / Appointment 
decisions of the following 
roles:
A. Compliance Officer 
Hiring / Appointment 
Decision.</t>
  </si>
  <si>
    <t>To accept the attachment, the following requirements must be met:
• The decision must be issued by the Entity’s authority holder.
• The Compliance Officer’s responsibilities are clarified in an approved job description.
• The responsibilities are in line with the “Organizational Manual”.</t>
  </si>
  <si>
    <t>DG.4.6</t>
  </si>
  <si>
    <t>DG.C.4.6</t>
  </si>
  <si>
    <t xml:space="preserve"> The Hiring / Appointment 
decisions of the following 
roles:
B. Business Data 
Executive Hiring / 
Appointment 
Decision.</t>
  </si>
  <si>
    <t>To accept the attachment, the following requirements must be met:
• The decision must be issued by the Entity’s authority holder.
• The Business Data Executive’s responsibilities are clarified in an approved job description.
• The responsibilities are in line with the “Organizational Manual”.</t>
  </si>
  <si>
    <t>DG.4.8</t>
  </si>
  <si>
    <t>DG.C.4.8</t>
  </si>
  <si>
    <t xml:space="preserve"> The Hiring / Appointment 
decisions of the following 
roles:
C. Legal Advisor Hiring / 
Appointment 
Decision.</t>
  </si>
  <si>
    <t>To accept the attachment, the following requirements must be met:
• The decision must be issued by the Entity’s authority holder.
• The Legal Advisor’s responsibilities are clarified in an approved job description.
• The responsibilities are in line with the “Organizational Manual”.</t>
  </si>
  <si>
    <t>DG.4.11</t>
  </si>
  <si>
    <t>DG.C.4.11</t>
  </si>
  <si>
    <t>All level 2 acceptance 
evidence requirements 
including:
- The Hiring / Appointment 
decisions of the following 
roles:
A. Business Data 
Steward(s) Hiring 
/ Appointment 
Decision.</t>
  </si>
  <si>
    <t>To accept the attachment, the following requirements must be met:
• The decision must be issued by the Entity’s authority holder.
• The Business Data Steward’s responsibilities are clarified in an approved job description.
• The responsibilities are in line with the “Organizational Manual”.</t>
  </si>
  <si>
    <t>DG.4.9</t>
  </si>
  <si>
    <t>DG.C.4.9</t>
  </si>
  <si>
    <t xml:space="preserve"> The Hiring / Appointment 
decisions of the following 
roles:
B. List of the IT Data 
Stewards.</t>
  </si>
  <si>
    <t>To accept the attachment, the following requirements must be met:
• The decision must be issued by the Entity’s authority holder.
• The IT Data Steward’s responsibilities are clarified in an approved job description.
• The responsibilities are in line with the Organizational Manual.</t>
  </si>
  <si>
    <t>DG.4.10</t>
  </si>
  <si>
    <t>DG.C.4.10</t>
  </si>
  <si>
    <t xml:space="preserve"> The Hiring / Appointment 
decisions of the following 
roles:
C. Personal Data 
Protection (PDP) 
Officer Hiring / 
Appointment 
Decision.</t>
  </si>
  <si>
    <t>To accept the attachment, the following requirements must be met:
• The decision must be issued by the Entity’s authority holder.
• The PDP Officer’s responsibilities are clarified in an approved job description.
• The responsibilities are in line with the Organizational Manual.</t>
  </si>
  <si>
    <t>DG.4.7</t>
  </si>
  <si>
    <t>DG.C.4.7</t>
  </si>
  <si>
    <t xml:space="preserve"> The Hiring / Appointment 
decisions of the following 
roles:
D. Open Data and 
Information 
Access Officer 
Hiring / 
Appointment 
Decision.</t>
  </si>
  <si>
    <t>To accept the attachment, the following requirements must be met:
 The decision must be issued by the entity’s authority holder.
 The ODIAO’s responsibilities are clarified in an approved job description.
 The responsibilities are in line with the Organizational Manual.</t>
  </si>
  <si>
    <t>DG.4.5</t>
  </si>
  <si>
    <t>DG.C.4.5</t>
  </si>
  <si>
    <t>The documented &amp; approved Data Management Organization structure.</t>
  </si>
  <si>
    <t>Attach the documented &amp; approved Data Management Organization structure, including the following, as a minimum:
• Roles &amp; responsibilities.
• Approved job descriptions for each role.
• Authorization: Reviews, approvals and decision making.</t>
  </si>
  <si>
    <t>DG.M.7</t>
  </si>
  <si>
    <t>The documented Data Stewardship / Ownership structure.</t>
  </si>
  <si>
    <t>Attach the documented &amp; approved Data Stewardship / Data Ownership structure, including the following, as a minimum:
• Identified Data Domains.
• Business Data Executives for each Data Domain.
• Business Data Steward for each Data Domain.
• IT Data Steward for each Data Domain.
• Roles &amp; responsibilities.</t>
  </si>
  <si>
    <t>DG.M.8</t>
  </si>
  <si>
    <t>All level 3 acceptance 
evidence requirements 
including
- The monitoring reports for 
the entity's Data 
Management Organization 
roles based on the pre_x0002_defined KPIs in the 
strategy and 
implementation plan.</t>
  </si>
  <si>
    <t>The entity should attach an updated report approved by the entity’s authority holder to 
measure the entity’s performance in monitoring job roles based on the identified and pre_x0002_defined Key Performance Indicators (KPIs) and scorecards.
Each indicator’s card should include the following, at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</si>
  <si>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DG.7.1 (KPI 1)</t>
  </si>
  <si>
    <t>DG.C.7.1 .2</t>
  </si>
  <si>
    <t>All level 4 acceptance 
evidence requirements 
including:
- Continuous improvement 
report for the roles and 
responsibilities of Data 
Management Organization 
within the entity.</t>
  </si>
  <si>
    <t>The entity must attach the continuous improvement report for the roles and 
responsibilities of DM Organization within the entity. The report should include the 
following, at a minimum:
 Conducted Reviews.
 Results of each review.
 Implemented improvements (with supporting documents).</t>
  </si>
  <si>
    <t>DG.M.9</t>
  </si>
  <si>
    <t>DG.MQ.4</t>
  </si>
  <si>
    <t>Evidences of communication on DM-related practices.</t>
  </si>
  <si>
    <t>Attach evidences showing that the entity has communications regarding Data Management practices, such as:
• E-mails.
• Correspondences.</t>
  </si>
  <si>
    <t>DG.M.10</t>
  </si>
  <si>
    <t>Evidences of training and awareness sessions conducted.</t>
  </si>
  <si>
    <t>Attach a report on the training courses &amp; awareness programs implemented by the Entity, including the following, as a minimum:
• Names of the implemented training courses related to DM, DG &amp; PDP.
• Awareness programs implemented in the different Domains under DM, DG &amp; PDP.
• A certificate of attendance sample for training the Entity’s employees in Domains related to DM, DG &amp; PDP.</t>
  </si>
  <si>
    <t>DG.M.11</t>
  </si>
  <si>
    <t>All level 1 acceptance 
evidence requirements 
including:
- The Change Management 
Plan.</t>
  </si>
  <si>
    <t>The Change Management Plan covering all DM Domains including:
• The DM &amp; PDP Training Plan for all DM Domains.
• The DM Communication plan.
• The Stakeholders engagement plan.
• The Change Control plan for Data system changes.</t>
  </si>
  <si>
    <t>DG.M.12</t>
  </si>
  <si>
    <t>All level 2 acceptance 
evidence requirements 
including:
- The Change Management 
Implementation Status 
Report showing the DM &amp; 
PDP Training &amp; 
Awareness Activities.</t>
  </si>
  <si>
    <t>Attach a report on the implementation status of the change management plan, and the report must include, as a minimum:
• The DM &amp; PDP Training implementation status for all DM Domains showing:
• Evidences of training conducted for the Entity’s employees, covering all DM Domains.
• A list of activities carried out by the Entity to raise awareness regarding the national regulations, laws, policies &amp; controls, standards and their applicability (such as: e-mails, publications, lectures, workshops, etc.).
• A list of activities carried out by the Entity to raise awareness regarding the national DM, DG &amp; PDP strategy and programs and their applicability on the Entity (such as: e-mails, publications, lectures, workshops, etc.).
• A list of activities carried out by the Entity to raise awareness regarding the data management domains as per the National Data Management and Personal Data Protection Framework, addressed to the related Data Management and Personal Data Protection roles.</t>
  </si>
  <si>
    <t>DG.3.1</t>
  </si>
  <si>
    <t>DG.C.3.1</t>
  </si>
  <si>
    <t>The Change Management Implementation Status Report showing the DM Communication activities.</t>
  </si>
  <si>
    <t>Attach a report on the implementation status of the change management plan, and the report must include evidences confirming the Entity's continuous communication regarding the following:
• The DM, DG &amp; PDP Program, activities and main decisions.
• The storage of DM &amp; DG documents &amp; artifacts.
• The measurement of DM &amp; DG performance indicators.
• The updates on DM &amp; DG policies &amp; processes.
• The updates on compliance reports, implementation plans, and the regulatory (legislative) environment related to DM &amp; DG.</t>
  </si>
  <si>
    <t>DG.6.2</t>
  </si>
  <si>
    <t>DG.C.6.2</t>
  </si>
  <si>
    <t>The Stakeholders Engagement and Socialization plan implementation status report.</t>
  </si>
  <si>
    <t>Attach a report showing that the Entity is engaging the identified stakeholders to develop and improve on the capabilities of the DM &amp; PDP program.</t>
  </si>
  <si>
    <t>DG.C.1.4.2</t>
  </si>
  <si>
    <t>The Data Governance Approvals Register.</t>
  </si>
  <si>
    <t>The register should include, as a minimum:
• CDO’s DG Decisions with their rationalized constituents.
• DM &amp; DG Committee Decisions.</t>
  </si>
  <si>
    <t>DG.8.1</t>
  </si>
  <si>
    <t>DG.C.8.1</t>
  </si>
  <si>
    <t>The Data Management Issue Tracking Register.</t>
  </si>
  <si>
    <t>The register should include, as a minimum:
• A sample of DM &amp; DG issues reported by business &amp; technical users.
• Evidence of resolution of the reported issues.</t>
  </si>
  <si>
    <t>P3</t>
  </si>
  <si>
    <t>DG.8.2</t>
  </si>
  <si>
    <t>DG.C.8.2</t>
  </si>
  <si>
    <t>Evidences that the Entity has DM &amp; DG document &amp; artifact Version Control practices.</t>
  </si>
  <si>
    <t>Attach a sample of a register / record or a document created by the Entity, and it must include the following as a minimum:
• The Domain name of the registry.
• The Registry’s Issuance Date.
• The Registry’s Updating Dates.
• The Registry Versions Control.
• The Updates made to the Registry or document.</t>
  </si>
  <si>
    <t>DG.8.3</t>
  </si>
  <si>
    <t>DG.C.8.3</t>
  </si>
  <si>
    <t>All level 3 acceptance 
evidence requirements 
including:
- The monitoring report of 
the change management 
practices with pre_x0002_defined KPIs in the 
Change Management 
Plan</t>
  </si>
  <si>
    <t>A report on monitoring the Change Management activities &amp; practices should be attached based on Predefined KPIs, which include, as a minimum, the following indicators:
1-  The Indicator of the periodic meetings of the internal DM &amp; DG &amp; PDP committee.
2- The Indicator of the completed training &amp; awareness sessions.
3- The Indicator of the attendance rates in the completed training &amp; awareness sessions.
4- The duration Indicator of the DM &amp; PDP issue resolutions.
5- The quantity Indicator of the number of resolved &amp; closed change requests.
6- The Indicator of the number of Data Sharing requests received.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</si>
  <si>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DG.7.1 (KPIs 2, 4, 5, 7 &amp; 8)</t>
  </si>
  <si>
    <t>DG.C.7.1.3</t>
  </si>
  <si>
    <t>All level 4 acceptance 
evidence requirements 
including:
- Continuous improvement 
report of the change 
management, highlighting 
the innovative 
mechanisms contributing 
to change management 
in areas related to data 
management.</t>
  </si>
  <si>
    <t>The entity should attach the continuous improvement report for change management practices, 
based on the results of KPI measurements and the innovative mechanisms and methods 
developed by the entity to enhance the effectiveness of change management. The report 
should include the following, at a minimum:
 Conducted Reviews.
 Results of each review.
 Implemented improvements (with supporting documents).
 Innovative mechanisms and methods related to change management.</t>
  </si>
  <si>
    <t>DG.M.13</t>
  </si>
  <si>
    <t>Data Classification</t>
  </si>
  <si>
    <t>DC</t>
  </si>
  <si>
    <t>DC.MQ.1</t>
  </si>
  <si>
    <t>The Existing DC Practices.</t>
  </si>
  <si>
    <t>The Entity must attach a report clarifying the current Data Classification Practices.</t>
  </si>
  <si>
    <t>DC.M.1</t>
  </si>
  <si>
    <t>The defined &amp; Approved Data Classification Plan.</t>
  </si>
  <si>
    <t>The Data Classification Plan must include the following, as a minimum:
• The roadmap with the activities &amp; milestones for the classification of Entity's Data. The activities shall incorporate what is needed to achieve this Domain’s specifications, as a minimum.
• The assignment of the required resources &amp; budget to manage the classification of the Entity's data.</t>
  </si>
  <si>
    <t>DC.1.1</t>
  </si>
  <si>
    <t>DC.C.1.1</t>
  </si>
  <si>
    <t>The Data Classification implementation plan status report.</t>
  </si>
  <si>
    <t>The Entity must attach a report clarifying the status of Data Classification implementation plan. The report must include, at a minimum, the following:
• Initiative and Project Status: Indicate the status of each initiative or project (not started, in progress, completed, or delayed), along with details of any delays or challenges.
• Progress Percentages: Provide progress percentages for the activities and milestone objectives outlined in the plan and roadmap, with clear details on the actual activities that have been executed.
• Supporting Evidence: Attach proof of progress/achievements, such as reports, images, documents, or meeting minutes that substantiate the implementation status.</t>
  </si>
  <si>
    <t>DC.M.2</t>
  </si>
  <si>
    <t>The Implementation Monitoring Report of the DC Plan &amp; Activities with Predefined KPIs.</t>
  </si>
  <si>
    <t xml:space="preserve"> The entity must attach an updated report, approved by the entity’s authority holder, on monitoring the effectiveness of the Data Classification plan based on pre-defined and identified KPIs and indicator 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</si>
  <si>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DC.M.3</t>
  </si>
  <si>
    <t>Data classification plan review report.</t>
  </si>
  <si>
    <t>The Entity must attach a report showing that the Entity identified, implemented and monitored continuous improvement mechanisms for the Data Classification Plan, based on the results of performance indicator measurements and relevant developments and updates in the field. The report must include at least the following:
• Reviews conducted.
• Results of each review.
• Improvements implemented (with supporting documentation).</t>
  </si>
  <si>
    <t>DC.M.4</t>
  </si>
  <si>
    <t>DC.MQ.2</t>
  </si>
  <si>
    <t>The Current List of Classified Datasets.</t>
  </si>
  <si>
    <t>The Entity must attach the current classified Datasets list.</t>
  </si>
  <si>
    <t>DC.M.5</t>
  </si>
  <si>
    <t>Data Classification Policy.</t>
  </si>
  <si>
    <t>Attach a data classification policy, which should include at a minimum:
• Policy name.
• Release date.
• Release number.
• Document control (preparation, revision, approval).
• Version history.
• Terminology.
• Objective.
• Scope of work.
• References.
• Policy owner.
• Policy statement including as a minimum:
◦ The main principles of classification
◦ Classification prioritization process and criteria
◦ Classification levels
◦ Classification controls
◦ Steps required for classification:
1. Define data.
2. Appointing the classification officer.
3. Conduct an impact assessment.
4. Conduct an impact assessment for low-impact data.
5. Classification review.
6. Apply appropriate controls.
7. Roles and responsibilities</t>
  </si>
  <si>
    <t>DC.M.6</t>
  </si>
  <si>
    <t>The Data Handling and Protection Controls.</t>
  </si>
  <si>
    <t>The Entity must attach a document containing the Handling &amp; Protection Controls for each Dataset &amp; Artifact according to its classification, to ensure secure handling, processing, sharing and disposal of data by following the policies &amp; regulations of the National Cybersecurity Authority (NCA). The document shall include, as a minimum:
• The controls for protection, handling &amp; processing of Public Classification cases.
• The controls for protection, handling &amp; processing of Restricted Classification cases.
• The controls for protection, handling &amp; processing of Confidential / Secret Classification cases.
• The controls for protection, handling &amp; processing of Top Confidential / Top Secret Classification cases.</t>
  </si>
  <si>
    <t>As specified 
by NCA</t>
  </si>
  <si>
    <t>DC.2.1</t>
  </si>
  <si>
    <t>DC.C.2.1</t>
  </si>
  <si>
    <t>The Inventory Report of the Identified Datasets and Artifacts.</t>
  </si>
  <si>
    <t>The Entity must attach a document clarifying an inventory of all Datasets &amp; Artifacts to implement the Data Classification Process, including as a minimum:
• Identifying the ownership of the Datasets &amp; Artifacts.
• The list of all Datasets &amp; Artifacts.</t>
  </si>
  <si>
    <t>DC.3.1</t>
  </si>
  <si>
    <t>DC.C.3.1</t>
  </si>
  <si>
    <t>The Prioritized Datasets and Artifacts.</t>
  </si>
  <si>
    <t>The Entity must attach a document showing the list of prioritized Datasets &amp; Artifacts to be followed during classification.</t>
  </si>
  <si>
    <t>DC.1.2</t>
  </si>
  <si>
    <t>DC.C.1.2</t>
  </si>
  <si>
    <t>The Impact Assessment Report.</t>
  </si>
  <si>
    <t>The Entity must attach a report proving that the Entity conducts probable impact assessments (e.g., Any potential damage) when disclosing specific Data or when specific Data was accessed in an unauthorized way. The Impact Assessment process should be implemented for all identified Datasets &amp; Artifacts, including the following steps:
• The identification of the potential categories impacted, amongst national interests, organizations, individuals and environment.
• The selection of the potential damage impact level for each identified category amongst 'High', 'Medium', 'Low' and 'None / Insignificant'.
• The assignment of Classification Levels to Datasets &amp; Artifacts based on the selected impact level:
◦ If the impact level was assessed as 'High', then Datasets &amp; Artifacts shall be classified as Top Confidential / Top Secret.
◦ If the impact level was assessed as 'Medium', then Datasets &amp; Artifacts shall be classified as Confidential / Secret.
◦ If the impact level was assessed as 'Low', then Datasets &amp; Artifacts shall be classified as Restricted.
◦ If the impact level was assessed as 'None / Insignificant', then Datasets &amp; Artifacts shall be classified as Public.
• The assessment alignment with the Data Classification Policies &amp; Regulations published by NDMO-SDAIA.</t>
  </si>
  <si>
    <t>DC.3.2</t>
  </si>
  <si>
    <t>DC.C.3.2</t>
  </si>
  <si>
    <t>The Assessment Report of Low Impact Data.</t>
  </si>
  <si>
    <t>A report shall be attached proving that the Entity researched / assessed the possibility of Classifying Low-impact Data as Public instead of Restricted. The assessment shall include the following:
• Analyzing / evaluating if the disclosure of this Low-impact data breaches any existing KSA regulation such as the Anti Cyber Crime Regulations and the Electronic Commerce (e-Commerce) Regulations.
• Identifying the potential benefits of disclosing / opening such Datasets &amp; Artifacts and assuring / considering whether those would outweigh the negative impacts.
• Modifying the Low-impact classified data to be considered Public if publishing / releasing would not breach any applicable / existing regulation, especially if the benefits outweigh the negative impacts.
• Aligning the assessment with the Data Classification Policies &amp; Regulations published by NDMO-SDAIA.</t>
  </si>
  <si>
    <t>DC.3.3</t>
  </si>
  <si>
    <t>DC.C.3.3</t>
  </si>
  <si>
    <t>Evidences of Utilization of the Data Catalog Tool for the Data Inventory.</t>
  </si>
  <si>
    <t>The Entity must attach a report or a proof that the Data Catalog Tool was used for Data Inventorying.</t>
  </si>
  <si>
    <t>DC.M.7</t>
  </si>
  <si>
    <t>The Approved Data Access List of users with the Assigned Privileges.</t>
  </si>
  <si>
    <t>The Entity must attach a document showing the Data Access list with the assigned permissions / privileges, including the following, as a minimum:
• Specifying the types of users who need Data Access.
• Specifying the Data Access Authorizations (Read, Modify, Delete).</t>
  </si>
  <si>
    <t>DC.M.8</t>
  </si>
  <si>
    <t>Data Register</t>
  </si>
  <si>
    <t>The Entity must attach a register / log documenting the list of all identified Datasets &amp; Artifacts, in addition to the activities implemented during the Data Classification process. The register / log should include the following, as a minimum:
• The list of the Entity's identified Datasets &amp; Artifacts.
• The Classification Levels assigned to the identified Datasets &amp; Artifacts.
• The Assignment Dates of the classification levels to the identified Datasets &amp; Artifacts.
• The mandatory Classification Durations of the identified Datasets &amp; Artifacts.
• The Classification Levels approved / validated during the reviews.
• The Classification Levels' Review Dates.</t>
  </si>
  <si>
    <t>DC.5.1</t>
  </si>
  <si>
    <t>DC.C.5.1</t>
  </si>
  <si>
    <t>The Monitoring Report of the DC Processes with Predefined KPIs.</t>
  </si>
  <si>
    <t>The entity must attach an updated and authorized report by the responsible authority to monitor the effectiveness of the Data Classification Processes, based on the predefined and identified Key Performance Indicators (KPIs) and scorecards, including the following KPIs, as a minimum:
•  The percentage of Classified Datasets &amp; Artifacts (out of the Entity’s total Datasets &amp; Artifacts).
•  The percentage of Datasets &amp; Artifacts classified with specific classification levels (out of the Entity’s total Classified Datasets &amp; Artifacts).
•  The percentage of Low-impact data classified as Restricted.
•  The percentage of Classified Datasets &amp; Artifacts that were reviewed, approved &amp; validated.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</si>
  <si>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DC.4.1</t>
  </si>
  <si>
    <t>DC.C.4.1</t>
  </si>
  <si>
    <t>The Data Classification Automation Tool.</t>
  </si>
  <si>
    <t>The entity must attach a report that includes at least the following:
• A description of the solutions and tools used in the data classification automation process.
• A description of the processes and stages of data classification automation.
• Samples of the tools used in the data classification automation process.
• Samples of the data classified using data classification automation tools.</t>
  </si>
  <si>
    <t>DC.M.9</t>
  </si>
  <si>
    <t>DC.MQ.3</t>
  </si>
  <si>
    <t>The Current Practices of DC Reviews.</t>
  </si>
  <si>
    <t>The Entity must attach a report clarifying the current practices of reviewing the classification of all Classified Datasets &amp; Artifacts for the following:
• To ensure that the assigned classification level for each is suitable, in line with the Data Classification Policies &amp; Regulations.
• To change the classification level if the Data status changes.</t>
  </si>
  <si>
    <t>DC.M.10</t>
  </si>
  <si>
    <t>The DC Review Mechanism.</t>
  </si>
  <si>
    <t>The entity must attach a document specifying the Data Classification Review Mechanism, 
as well as the roles and responsibilities related to all stages of the classification review 
process, in accordance with the Data Classification Policy. The document must include, at 
a minimum, the following:
 Procedures for verifying the accuracy of the data collected.
 Procedures for verifying data classification levels.
 Procedures for verifying validity.
 Procedures for Identifying errors and corrections.
 Procedures for documenting the Data Classification Review Process.</t>
  </si>
  <si>
    <t>DC.M.11</t>
  </si>
  <si>
    <t>The Data Classification Review Report.</t>
  </si>
  <si>
    <t xml:space="preserve"> The entity must attach a report that proves periodic Data Classification reviews in accordance with the defined classification review mechanism and the Data Classification 
Policy issued by NDMO-SDAIA. The report must, at a minimum, include the following:
• The Reviewed Classified Datasets &amp; Artifacts.
• The Decisions made resulting from the Review Process.</t>
  </si>
  <si>
    <t>DC.3.4</t>
  </si>
  <si>
    <t>DC.C.3.4</t>
  </si>
  <si>
    <t>An Evidence Document of the Published Classification Levels as Metadata.</t>
  </si>
  <si>
    <t>The Entity must attach a document proving that the Entity published on the comprehensive Data Catalog the classification levels assigned to the Datasets. The Metadata must be published according to the process defined in the Data Catalog &amp; Metadata (MCM) Data Management (DM) Domain (i.e., Metadata &amp; Catalog Management (MCM)).</t>
  </si>
  <si>
    <t>DC.3.5</t>
  </si>
  <si>
    <t>DC.C.3.5</t>
  </si>
  <si>
    <t>The Monitoring Report of the DC Review Mechanism with Predefined KPIs.</t>
  </si>
  <si>
    <t xml:space="preserve"> The entity must attach an updated report, approved by the entity’s authority holder, on monitoring the effectiveness of the DC Review Mechanism based on pre-defined and identified KPIs and indicator cards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</si>
  <si>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DC.M.12</t>
  </si>
  <si>
    <t>Data classification review mechanisms review report.</t>
  </si>
  <si>
    <t>The entity must attach a continuous improvement report for data classification review, based on the results of performance indicator measurements, as well as relevant updates and developments in the field. The report must include, at a minimum, the following:
• Evidence of the automation of data classification review processes and the automated reflection of the new classification on the data catalog tool.
• Review and results documentation: Periodic review and results documentation for data classification review.
• Continuous improvement mechanisms: Mechanisms for the continuous improvement of data classification review.</t>
  </si>
  <si>
    <t>DC.M.13</t>
  </si>
  <si>
    <t xml:space="preserve">Data Sharing and Interoperability </t>
  </si>
  <si>
    <t>DSI</t>
  </si>
  <si>
    <t>DSI.MQ.1</t>
  </si>
  <si>
    <t>The Names of the Current Practices of Data Sharing and Integration (DSI).</t>
  </si>
  <si>
    <t>The Entity must attach a list of the names of the current DSI Practices and Activities, including an evidence to support the practice of each Activity, being one of the following, as a minimum:
• Email copies / screenshots.
• Document Copies.
• System screenshots.</t>
  </si>
  <si>
    <t>DSI.M.1</t>
  </si>
  <si>
    <t>The Updated and Approved Results of the Initial Data Integration Assessment.</t>
  </si>
  <si>
    <t>The Entity must attach the report of the Data Integration assessment results, including the following, as a minimum:
• The current IT Structure: an inventory of all existing IT components (data sources, systems, applications and data stores).
• High Level Data Lineage including the rules according to which data is changed, and the frequency of changes.
• Data Models used by the Entity's IT components.
• List of all identified challenges in the Data Lineage of data movements and integration.</t>
  </si>
  <si>
    <t>DSI.1.1</t>
  </si>
  <si>
    <t>DSI.C.1.1</t>
  </si>
  <si>
    <t>The Developed Data Integration Strategy Document.</t>
  </si>
  <si>
    <t>The entity must attach the developed Data Integration Strategy containing the following, at a 
minimum:
 The Strategy’s approval by the entity’s authority holder and effective date.
 The Strategy must be recent (Approved within the last three years).
 The objectives, initiatives, projects and the metric indicators of the 
implementation of the Data Integration activities and milestones. The 
activities shall incorporate what is needed to achieve this Domain’s 
specifications, at a minimum.
 The implementation roadmap of the Data Integration initiatives. 
 The assignment of the required resources &amp; budget allocation to manage 
the implementation of this Domain.</t>
  </si>
  <si>
    <t>DSI.M.2</t>
  </si>
  <si>
    <t>The Developed Target Data Integration Architecture.</t>
  </si>
  <si>
    <t>The Entity must attach the Target Data Integration Architecture including the following, as a minimum:
• The Data Integration requirements.
• The Data Integration Architecture diagram.
• The Architecture components.</t>
  </si>
  <si>
    <t>DSI.1.2</t>
  </si>
  <si>
    <t>DSI.C.1.2</t>
  </si>
  <si>
    <t>The Developed Data Integration Plan (Including Data Sharing Activities).</t>
  </si>
  <si>
    <t>The Entity must attach the developed Data Integration Plan including the following, as a minimum:
• The summarized Architecture briefs.
• The roadmap and covenant charters of the projects and initiatives in the plan.
• The assignment of the required resources &amp; budget allocation for the projects and initiatives in the plan.</t>
  </si>
  <si>
    <t>DSI.1.3</t>
  </si>
  <si>
    <t>DSI.C.1.3</t>
  </si>
  <si>
    <t>The Developed Data Sharing Policies.</t>
  </si>
  <si>
    <t>The entity must attach the updated Policies of the Data Sharing &amp; Interoperability (DSI) Domain, 
approved by the entity’s authority holder. The developed policies must align with the updated 
National Data Governance policies issued by the National Data Management Office (NDMO) - SDAIA.
- Every Policy document must include, the following, as a minimum:
• Policy title / name.
• Policy owner.
• Release date.
• Version number.
• Version history.
• Objective.
• Identified stakeholders.
• Communications process.
• Document control (Preparation, review, approval).
• Policy Statement.
• Roles &amp; responsibilities.
• Terminology.
• Scope of work.
• Activation mechanisms.
• Target audience.
• Approval.
• References.</t>
  </si>
  <si>
    <t>DSI.M.3</t>
  </si>
  <si>
    <t>The Developed Data Sharing Training Plan.</t>
  </si>
  <si>
    <t>The Entity must attach the developed and approved DSI Domain’s training and awareness plan including the following, as a minimum:
• The training and awareness programs plan implementation dates.
• The objectives of training and awareness including, as a minimum, the topics stated in the “Data Management and Personal Data Protection (DM &amp; PDP) Standards” document i.e.
◦ Introduction on the applicability of the Data Sharing process.
◦ The leading / best Data Sharing practices.
◦ The consequences of mishandling Data.
◦ The Data Sharing Standards, Controls &amp; Principles.
• The methods and channels through which the trainings will be conducted.
• Identifying the DSI Domain Awareness campaign channels, which include:
◦ E mails or mobile phone messages.
◦ Publications.
◦ Lectures or workshops.</t>
  </si>
  <si>
    <t>DSI.M.4</t>
  </si>
  <si>
    <t>A Data Integration Plan Implementation Status Report.</t>
  </si>
  <si>
    <t xml:space="preserve">
The entity must attach an updated and approved report on the implementation status of the DSI Plan and roadmap, containing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</si>
  <si>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DSI.M.5</t>
  </si>
  <si>
    <t>A Progress Report on Data Sharing Training Programs.</t>
  </si>
  <si>
    <t>The Entity must attach an updated and approved report clarifying the DSI training &amp; awareness implementation status containing the following, as a minimum:
• The training and awareness target audience.
• The list of conducted training programs and awareness campaigns (Including the topics of the programs, the dates when they were conducted, and the names of the training attendants).
• Samples of the activities performed by the Entity to raise awareness about the DSI Domain, including:
◦ E mails or mobile phone messages.
◦ Publications.
◦ Lectures or workshops.</t>
  </si>
  <si>
    <t>DSI.2.1</t>
  </si>
  <si>
    <t>DSI.C.2.1</t>
  </si>
  <si>
    <t>A Report on the Defined Roles and Responsibilities for DSI.</t>
  </si>
  <si>
    <t xml:space="preserve">
The entity must attach an updated report, approved by the entity’s authority holder presenting the DSI Domain’s roles and responsibilities including the following, at a minimum:
 The stewardship roles of the DSI processes.
 The stewardship responsibilities of the DSI processes.
 A list of individuals assigned to carry out the roles and responsibilities for the domain.</t>
  </si>
  <si>
    <t>DSI.M.6</t>
  </si>
  <si>
    <t>The Monitoring Report with Pre-defined Key Performance Indicators (KPIs) for the Data Integration Plan and Data Sharing Activities.</t>
  </si>
  <si>
    <t xml:space="preserve"> The entity must attach an updated report, approved by the entity’s authority holder on monitoring the effectiveness of the DSI domain implementation plan based on pre-defined and identified KPIs and indicator cards.
- Each indicator’s data or card should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</si>
  <si>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DSI.M.7</t>
  </si>
  <si>
    <t>The Continuous Improvement Report on the Data Integration Plan and Data Sharing Activities.</t>
  </si>
  <si>
    <t>he entity must attach an updated report, approved by the entity’s authority holder presenting the continuous improvements of the DSI Domain’s plan based on the results of the KPI measurements and relevant updates and developments in the domain containing the following, at a minimum:
 The conducted reviews.
 The results of each review.
 The implemented enhancements (with supporting documents)</t>
  </si>
  <si>
    <t>DSI.M.8</t>
  </si>
  <si>
    <t>DSI.MQ.2</t>
  </si>
  <si>
    <t>Evidences of the Current DSI Practices / Processes by the Entity (Internally &amp; Externally).</t>
  </si>
  <si>
    <t>The Entity must attach a report on the current DSI Practices and Processes, both internally within the Entity and externally with other Entities, including an evidence to support the practice of each Activity / Process, being one of the following, as a minimum:
• Email copies / screenshots.
• Document Copies.
• System screenshots.</t>
  </si>
  <si>
    <t>DSI.M.9</t>
  </si>
  <si>
    <t>The Process Documentation for Data Sharing (Including Data Classification Levels and Timelines).</t>
  </si>
  <si>
    <t>The Entity must attach the Data Sharing Process documents with the Process details including the following, as a minimum:
• Data Sharing Request Reception.
• Identification / assignment of roles.
• Data Classification (DC) level check.
• Data Sharing Principles assessment.
• Data sharing decision and replying with feedback.
• Business Data Executive’s approval.
• Design and implementation of Data Sharing Controls.
• Data Sharing Agreement signing.
• Sharing Data with the Requestor.</t>
  </si>
  <si>
    <t>DSI.5.1</t>
  </si>
  <si>
    <t>DSI.C.5.1.1</t>
  </si>
  <si>
    <t>The Developed and Approved Data Sharing Request Forms (Internal and External).</t>
  </si>
  <si>
    <t>The Entity must attach the Forms of the internal and external Data Sharing requests using the Entity’s approved templates.</t>
  </si>
  <si>
    <t>DSI.M.10</t>
  </si>
  <si>
    <t>The Developed and Approved Internal Data Sharing Agreement Template.</t>
  </si>
  <si>
    <t>The Entity must attach the internal Data Sharing Agreements between information systems within the Entity.</t>
  </si>
  <si>
    <t>DSI.7.1</t>
  </si>
  <si>
    <t>DSI.C.7.1.1</t>
  </si>
  <si>
    <t>The Developed and Approved External Data Sharing Agreement Template.</t>
  </si>
  <si>
    <t>The Entity must attach the external Data Sharing Agreements with other Entities including the following, as a minimum:
• The Purpose of Data Sharing.
• Information about each requesting and sharing Entity.
• Lawful / Legal / Regulatory basis for Sharing.
• Sharing details (Date, Duration, etc.).
• Liability provisions.
• The Data Sharing Agreements signed by the Business Data Executive and the Requestor.</t>
  </si>
  <si>
    <t>DSI.7.2</t>
  </si>
  <si>
    <t>DSI.C.7.2.1</t>
  </si>
  <si>
    <t>Evidences of Operationalization of The Data Sharing Process, e.g.: Communication of The Defined Data Sharing Mechanism.</t>
  </si>
  <si>
    <t>The Entity must attach a communication operationalization report related to the defined mechanism of the Data Sharing process, including the following, as a minimum:
• Correspondence exchanged proving the establishment of a communication channel between the communicating Entities.
• A communication evidence of the approval of a formal mechanism defined for Data Sharing.</t>
  </si>
  <si>
    <t>DSI.C.5.1.2</t>
  </si>
  <si>
    <t>Evidences of Data Sharing Through SDAIA's Certified and Approved Channels.</t>
  </si>
  <si>
    <t>The Entity must attach a report on the electronic communication with the requestor Entity requesting Data Sharing through the SDAIA certified and SDAIA approved channels (e.g.: The Government Service Bus (GSB), etc.). The report may contain:
• System screenshots or records. (The communication channel usage can include Data Sharing).
• A report on the communications using the Entity’s formal government website.</t>
  </si>
  <si>
    <t>DSI.M.11</t>
  </si>
  <si>
    <t>The Access Authorization Controls Document.</t>
  </si>
  <si>
    <t>The entity must attach a document detailing the Controls for authorization &amp; usage when accessing the official government website channel for receiving requests.</t>
  </si>
  <si>
    <t>DSI.M.12</t>
  </si>
  <si>
    <t>Evidences of Data Sharing Requests Submitted to The Entity and The Requests Submitted by The Entity Through the Established Channel.</t>
  </si>
  <si>
    <t>The Entity must attach the record(s) containing the Data Sharing requests:
• The list received by the Entity.
• The list sent / submitted by the Entity.</t>
  </si>
  <si>
    <t>DSI.6.1</t>
  </si>
  <si>
    <t>DSI.C.6.1</t>
  </si>
  <si>
    <t>Evidences of the Entity's Responses to the Data Sharing Requests.</t>
  </si>
  <si>
    <t>The Entity must attach the notifications acknowledging receiving the Data Sharing requests with the responses.</t>
  </si>
  <si>
    <t>DSI.M.13</t>
  </si>
  <si>
    <t>An Adoption Evidence of The Developed Data Sharing Agreement Template for An Internal Data Sharing Request.</t>
  </si>
  <si>
    <t>The Entity must attach a report containing an evidence of the Entity's adoption of a template developed for the Data Sharing Agreement upon an internal request from within the Entity.</t>
  </si>
  <si>
    <t>DSI.C.7.1.2</t>
  </si>
  <si>
    <t>An Adoption Evidence of The Developed Data Sharing Agreement Template for An External Data Sharing Request.</t>
  </si>
  <si>
    <t>The Entity must attach a report containing an evidence of the Entity's adoption of a template developed for the Data Sharing Agreement upon a request from an external Entity.</t>
  </si>
  <si>
    <t>DSI.C.7.2.2</t>
  </si>
  <si>
    <t>The Documented Review Outcomes of The Data Sharing Agreements.</t>
  </si>
  <si>
    <t>The Entity must attach a report on the results and outcomes of the documented reviews of the Data Sharing Agreements.</t>
  </si>
  <si>
    <t>DSI.7.3</t>
  </si>
  <si>
    <t>DSI.C.7.3</t>
  </si>
  <si>
    <t>The Monitoring Report with Pre-defined KPIs for the Data Sharing Processes.</t>
  </si>
  <si>
    <t xml:space="preserve">
The entity must attach an updated report approved by the entity’s authority holder on monitoring the effectiveness of the data sharing processes implementation based on pre_x0002_defined KPIs (Indicator Cards), covering:
• The number of Data Sharing requests received.
• The number of Data Sharing requests accepted / denied.
• The number of Data Sharing requests sent.
• The number of ongoing Data Sharing agreements.
• The average duration of the Data Sharing request evaluation process expressed, in days.
Each indicator’s data or card should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
</t>
  </si>
  <si>
    <t>DSI.8.1</t>
  </si>
  <si>
    <t>DSI.8.1.1</t>
  </si>
  <si>
    <t>The compliance audit methodology.</t>
  </si>
  <si>
    <t>The Entity must attach the Compliance Audit Methodology document.</t>
  </si>
  <si>
    <t>DSI.M.14</t>
  </si>
  <si>
    <t>The Continuous Improvement Report on the DSI Processes.</t>
  </si>
  <si>
    <t>The entity must attach the continuous improvement report of the Data Sharing Processes implementation, based on the results of the KPI measurements and relevant updates and developments in the domain containing the following, at a minimum:
 Evidence of DSI Process automation.
 The documents of the periodic reviews, evaluations &amp; documented results of the DSI Domain Processes.
 Improvements implemented (with supporting documents)</t>
  </si>
  <si>
    <t>DSI.M.15</t>
  </si>
  <si>
    <t>DSI.MQ.3</t>
  </si>
  <si>
    <t>Evidences of Data Movement / Integration within the Entity and with Other Entities.</t>
  </si>
  <si>
    <t>The Entity must attach evidences of Data Movement or Data Integration / Interoperability:
• Internally within the Entity.
• Externally with other Entities.</t>
  </si>
  <si>
    <t>DSI.M.16</t>
  </si>
  <si>
    <t>The Integration Requirements Document.</t>
  </si>
  <si>
    <t>The Entity must attach the Integration / Interoperability Requirements document containing the following, as a minimum:
• A clearly defined scope.
• Entity's Business goals / objectives and aims to be achieved.
• Implementation Timeline.
• Resources required.
• Cost estimate.
• Functional requirements.
• Non-Functional requirements.</t>
  </si>
  <si>
    <t>DSI.3.1</t>
  </si>
  <si>
    <t>DSI.C.3.1</t>
  </si>
  <si>
    <t>The Solution Design Document.</t>
  </si>
  <si>
    <t>The Entity must attach the Solution Design document including the following, as a minimum:
• Integration Solution Overview.
• Target Data Integration Architecture.
• Data Orchestration – The Data Flow Diagram (DFD).
• Source to Target Mapping – A set of Data Transformation instructions that determine how to convert the structure and content of Data in the source system to the structure and content needed in the target system. The instructions shall include the following, as a minimum:
◦ The technical format of Data at the source and the target.
◦ The Specifications of transformations required for all intermediate staging points between the source and the target.</t>
  </si>
  <si>
    <t>DSI.3.2</t>
  </si>
  <si>
    <t>DSI.C.3.2</t>
  </si>
  <si>
    <t>The Document of the Approved Standardized Entity Wide Integration Solution Development Lifecycle.</t>
  </si>
  <si>
    <t>The entity must attach a life cycle description document, being the standardized and approved cycle for the development of Integration/Interoperability solutions at the entity 
level. The description should include the stages of the lifecycle for developing Integration/Interoperability solutions, roles and responsibilities, as well as practices implemented during the lifecycle of solution development.</t>
  </si>
  <si>
    <t>DSI.M.17</t>
  </si>
  <si>
    <t>The Developed Test Scripts and the Conducted Tests (Integration, Functional) in Line with the Plan and the Solution Design Document.</t>
  </si>
  <si>
    <t>The Entity must attach the developed test scripts and the conducted tests (Integration tests &amp; functional tests) in alignment with the Plan and the Solution Design document, containing the following, as a minimum:
• The defined &amp; identified Test Use Cases.
• Evidence of a Test Environment setup.
• The Test Use Cases, executed in a Test Environment, and the documented test results.</t>
  </si>
  <si>
    <t>DSI.3.3</t>
  </si>
  <si>
    <t>DSI.C.3.3</t>
  </si>
  <si>
    <t>The Monitoring Report with Pre-defined KPIs for the Data Integration Initiatives.</t>
  </si>
  <si>
    <t>The Entity must attach an updated and approved report on monitoring the Data Integration / Interoperability initiatives based on the data of the KPIs (Indicator Cards) which were predefined for the DSI Domain, covering: 
• Data transfer rate between systems / applications.
• Latency between Data sources and Data targets.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</si>
  <si>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DSI.8.1 (1,2)</t>
  </si>
  <si>
    <t>DSI.C.8.1 (1,2)</t>
  </si>
  <si>
    <t>The Integration Solution Monitoring and Maintenance Document.</t>
  </si>
  <si>
    <t>The entity must attach a document on monitoring and maintaining the Integration / Interoperability solutions, containing the following, at a minimum:
• Reports of any detected programming flaws or errors.
• Change requests from end users to incorporate changes in business requirements.</t>
  </si>
  <si>
    <t>DSI.3.4</t>
  </si>
  <si>
    <t>DSI.C.3.4</t>
  </si>
  <si>
    <t>The Continuous Improvement Report on the Data Integration Practices.</t>
  </si>
  <si>
    <t>The entity must attach an updated &amp; approved report to improve the implementation of data Integration/Interoperability initiatives, based on the results of the KPI measurements and relevant updates and developments in the domain containing the following, at a minimum
 The documents of the periodic reviews &amp; documented results.
 Improvements implemented (with supporting documents).</t>
  </si>
  <si>
    <t>DSI.M.18</t>
  </si>
  <si>
    <t>The Continuous Improvement Mechanisms for Data Integration, e.g.: Continuous Integration &amp; Continuous Delivery (CICD) Pipeline Details for Automation.</t>
  </si>
  <si>
    <t>The Entity must attach a document clarifying the details of the automation activities program (Pipeline) in relation to Continuous Integration &amp; Continuous Delivery (CICD).</t>
  </si>
  <si>
    <t>DSI.M.19</t>
  </si>
  <si>
    <t>DSI.MQ.4</t>
  </si>
  <si>
    <t>The Existing Data Integration or Data Movement Processes within the Entity.</t>
  </si>
  <si>
    <t>The Entity must attach a report on the current Data Integration / Interoperability Processes or the current Data Movement Processes within the Entity.</t>
  </si>
  <si>
    <t>DSI.M.20</t>
  </si>
  <si>
    <t>The Developed Data Migration Processes (i.e.: ETL).</t>
  </si>
  <si>
    <t>The Entity must attach a report on the Processes and Standards process to integrate data from disparate sources and load it into the Data Warehouse Store i.e.: Extract, Transform, Load (ETL).</t>
  </si>
  <si>
    <t>DSI.4.1</t>
  </si>
  <si>
    <t>DSI.C.4.1.1</t>
  </si>
  <si>
    <t>The Developed Data Migration Processes (i.e.: ELT).</t>
  </si>
  <si>
    <t>The Entity must attach a report on the Processes and Standards process to store the unstructured data in its raw native format in the Data Lake i.e.: Extract, Load, Transform (ELT).</t>
  </si>
  <si>
    <t>DSI.4.2</t>
  </si>
  <si>
    <t>DSI.C.4.2.1</t>
  </si>
  <si>
    <t>The Risk Assessment Report on the Entity's Datasets to be Shared.</t>
  </si>
  <si>
    <t>The Entity must attach an assessment report on the risks which may arise as a result of sharing the Entity’s Datasets.</t>
  </si>
  <si>
    <t>DSI.M.21</t>
  </si>
  <si>
    <t>The Defined Data Sharing Controls.</t>
  </si>
  <si>
    <t>The Entity must attach a report on the Controls that have been identified and defined for Data Sharing.</t>
  </si>
  <si>
    <t>DSI.M.22</t>
  </si>
  <si>
    <t>A Report on the Implemented Controls (e.g.: Data Security &amp; Protection, Data Sharing, Data Integration, Data Access, etc.).</t>
  </si>
  <si>
    <t>The Entity must attach a report clarifying the Controls implemented on the Migration Processes “ETL or ELT” (e.g., Controls for: Data Sharing, Data Integration / Interoperability, and Data Access Authorizations, etc.), including the following, as a minimum:
• Attaching an evidence that all stakeholders involved in Data Sharing applied the appropriate Security Controls to protect and share Data, in a safe and reliable environment, in alignment with the relevant laws and regulations, and as issued by the National Cybersecurity Authority (NCA).
• Attaching an evidence that all stakeholders involved in Data Sharing have the following, as a minimum:
◦The authorization to view, obtain / acquire and use this Data (which may require security scanning depending on the nature and sensitivity of the Data based on the Data Classification (DC) Domain Standards).
◦ Knowledge, skill, and qualified people who are properly trained on handling the Shared Data.
• Attaching an evidence that all stakeholders involved in Data Sharing applied the controls which are necessary to appropriately manage and protect the Shared Data, including what is stated in the National Data Governance (DG) Policies issued by SDAIA, e.g.:
◦ Legal / Regulatory basis.
◦ Delegation / Authorization.
◦ Data type.
◦ Data pre-processing.
◦ Data Sharing methods.
◦ Data usage &amp; maintenance.
◦ Data Sharing duration.
◦ The number of times Data was Shared.
◦ Sharing cancellation.
◦ Liability provisions.</t>
  </si>
  <si>
    <t>DSI.M.23</t>
  </si>
  <si>
    <t>Evidence of the Implemented Data Migration Processes (i.e.: Extract, Transform, Load (ETL)).</t>
  </si>
  <si>
    <t>The Entity must submit a report to showcase the Implemented “Extract, Transform, Load (ETL)” process for integrating data from disparate sources and loading into Data Warehouse Store. The process must include the following steps:
• Extract – Data Extraction must include the following, as a minimum:
◦ Identification of Data Sources from which the Data will be extracted.
◦ Extracting Data from the Data Sources.
◦ Staging the extracted Data temporarily in a physical Data store, e.g.: On disk or in another memory.
• Transform – The Data Transformation step must include the following, as a minimum:
◦ Data Mapping – Planning the actual transformation process.
◦ Data Transformation – Removing duplicate Data, filling out missing values, filtering, sorting, joining and splitting Data.
◦ Review – Validating the correctness of the transformation.
• Load – Physically storing the transformed Data in the Data Warehouse / Store.</t>
  </si>
  <si>
    <t>Evidence of the Implemented Data Migration Processes (i.e.: Extract, Load, Transform (ELT)).</t>
  </si>
  <si>
    <t>The Entity must submit a report to showcase the Implemented “Extract, Load, Transform (ELT)” process for storing unstructured data in its raw native format in the Data Lake. The process must include the following steps:
• Extract – The Data Extraction step must include the following, as a minimum:
◦ Identification of Data Sources from which the Data will be extracted.
◦ Extracting Data from Data Sources.
• Loading – Physically storing Data in its raw native format in the Data Lake.
• Transform – The Data Transformation step must include the following, as a minimum:
◦ Data Mapping – Planning the actual transformation process
◦ Data Transformation – Removing duplicate Data, filling out missing values, filtering, sorting, joining and splitting Data.
◦ Review – Validating the correctness of the transformation.</t>
  </si>
  <si>
    <t>DSI.C.4.2.2</t>
  </si>
  <si>
    <t>The Monitoring Report with Pre-defined KPIs for the DSI Controls, Processes and Standards.</t>
  </si>
  <si>
    <t>The Entity must attach an updated and approved report on monitoring the DSI Controls, Practices and Standards based on Predefined KPIs (Indicator Cards), and each indicator’s data or card should include the following, as a minimum: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</si>
  <si>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DSI.M.24</t>
  </si>
  <si>
    <t>The Continuous Improvement Report on Reviewing the DSI Processes and Mechanisms to Automate the DSI Controls and Practices.</t>
  </si>
  <si>
    <t>The entity must attach an updated and approved report on the continuous improvement of processes and mechanisms implemented to automate the DSI Domain’s Controls, Standards, and Practices, including the following, at a minimum:
 The documents of the periodic reviews &amp; documented results.
 Improvements implemented (with supporting documents).</t>
  </si>
  <si>
    <t>DSI.M.25</t>
  </si>
  <si>
    <t>Data Quality</t>
  </si>
  <si>
    <t>DQ</t>
  </si>
  <si>
    <t>DQ.MQ.1</t>
  </si>
  <si>
    <t>Evidence of the Existing Data Quality (DQ) Related Activities.</t>
  </si>
  <si>
    <t>The Entity must attach a report on the activities that are practiced in the DQ Domain. For each activity, the report must contain the following, as a minimum:
• Copies / screenshots of e-mail correspondences which support practicing the activity.
• Copies / screenshots of documents which support practicing the activity.
• Screenshots of the systems which support practicing the activity.</t>
  </si>
  <si>
    <t>DQ.M.1</t>
  </si>
  <si>
    <t>The Defined and Approved DQ Implementation Plan.</t>
  </si>
  <si>
    <t>The Entity must attach a defined and approved DQ management plan to implement and manage the activities which aim at improving the Entity’s Data. This plan must contain the following, as a minimum:
• A roadmap that includes the activities and milestones of implementing the DQ Management practices in the Entity. The activities shall incorporate what is needed to achieve this Domain’s specifications, as a minimum.
• The assignment of the required resources &amp; budget allocation to manage the implementation of the DQ Management Plan.</t>
  </si>
  <si>
    <t>DQ.1.2</t>
  </si>
  <si>
    <t>DQ.C.1.2</t>
  </si>
  <si>
    <t>A Report on the DQ Plan Implementation Status.</t>
  </si>
  <si>
    <t xml:space="preserve">
The entity must attach an updated &amp; approved report on the DQ plan implementation status 
and roadmap containing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</si>
  <si>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DQ.M.2</t>
  </si>
  <si>
    <t>A Report on the Defined DQ Roles &amp; Responsibilities.</t>
  </si>
  <si>
    <t>The Entity must attach an updated &amp; approved report presenting the implementation status of the DQ Domain’s defined roles and responsibilities containing the following, as a minimum:
• The DQ Roles of the Data Stewards.
• The Responsibilities of the Data Stewards in the DQ Domain operations.
• A list of employees assigned to carry out the defined data quality roles.</t>
  </si>
  <si>
    <t>DQ.M.3</t>
  </si>
  <si>
    <t>A Report on the Assigned Resources for the DQ Plan.</t>
  </si>
  <si>
    <t>The Entity must attach an updated &amp; approved report presenting the current status of the resources allocated for the implementation of the DQ activities containing the people, processes and tools needed to implement the DQ activities.</t>
  </si>
  <si>
    <t>DQ.M.4</t>
  </si>
  <si>
    <t>The Monitoring Report of the DQ Plan and Activities with Pre-defined Key Performance Indicators (KPIs).</t>
  </si>
  <si>
    <t>The Entity must attach an updated &amp; approved monitoring report on the DQ activities implementation plan based on the KPIs (Indicator Cards) which were Predefined in the DQ implementation plan.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</si>
  <si>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DQ.M.5</t>
  </si>
  <si>
    <t>The Continuous Improvement Report of the Data Quality Plan &amp; Activities.</t>
  </si>
  <si>
    <t xml:space="preserve"> The entity must attach an updated &amp; approved report presenting continuous improvement
based on the results of the KPI measurements and relevant updates and developments in 
the domain containing the following, at a minimum:
• Reviews conducted.
• Results of each review
• Improvements that have been implemented (with supporting documentation).</t>
  </si>
  <si>
    <t>DQ.M.6</t>
  </si>
  <si>
    <t>DQ.MQ.2</t>
  </si>
  <si>
    <t>The Existing DQ Domain Initiatives.</t>
  </si>
  <si>
    <t>The Entity must attach a report on the current DQ Domain initiatives.</t>
  </si>
  <si>
    <t>DQ.M.7</t>
  </si>
  <si>
    <t>The Existing Processes for Detecting DQ Issues.</t>
  </si>
  <si>
    <t>The Entity must attach a report on the current DQ issue detection processes.</t>
  </si>
  <si>
    <t>DQ.M.8</t>
  </si>
  <si>
    <t>The Existing Processes Used for Data Corrections or Data Validations.</t>
  </si>
  <si>
    <t>The Entity must attach a report on the current processes used for Data corrections or Data validations.</t>
  </si>
  <si>
    <t>DQ.M.9</t>
  </si>
  <si>
    <t>The Prioritized List of Data Elements.</t>
  </si>
  <si>
    <t>The Entity must attach a report listing the Data elements ranked / prioritized based on business requirements. The first priority Data must include the Entity’s Master Data, as a minimum.</t>
  </si>
  <si>
    <t>DQ.1.1</t>
  </si>
  <si>
    <t>DQ.C.1.1</t>
  </si>
  <si>
    <t>The Defined DQ Dimensions for the Entity's Datasets.</t>
  </si>
  <si>
    <t>The Entity must attach a report clarifying the defined DQ Dimensions for the Entity's Datasets including the following, as a minimum:
• Completeness (The degree of how complete data records are).
• Uniqueness (The degree of how unique data records are without duplicates).
• Timeliness (The degree to which data is up to date and available when it is needed).
• Validity (The degree of records' conformance to the established formats, types and ranges).
• Accuracy (The degree to which data values align to real values).
• Consistency (The degree to which data is consistent across the Entity’s business and across different sources).</t>
  </si>
  <si>
    <t>DQ.2.1</t>
  </si>
  <si>
    <t>DQ.C.2.1</t>
  </si>
  <si>
    <t>The Data Quality Rules Report.</t>
  </si>
  <si>
    <t>The Entity must attach a report clarifying the list of defined DQ Rules that are aligned with the DQ Dimensions including the following, as a minimum:
• The DQ rule owner.
• The business description of the requirement to be validated by the rule.
• Regarding the particular data whose quality is being measured: The assignment of Rules to each of the DQ Dimensions including the following, as a minimum:
◦ Completeness.
◦ Uniqueness.
◦ Timeliness.
◦ Validity.
◦ Accuracy.
◦ Consistency.
• The list of Data Attributes validated by the defined rules.
• The metrics that are calculated when validating each DQ rule.
• The escalation threshold that triggers a DQ alert for the rule.</t>
  </si>
  <si>
    <t>DQ.2.2</t>
  </si>
  <si>
    <t>DQ.C.2.1.2</t>
  </si>
  <si>
    <t>The Developed &amp; Approved Processes for DQ Issue Management &amp; Remediation.</t>
  </si>
  <si>
    <t>The Entity must attach a report clarifying the Developed &amp; Approved Processes for DQ Issue Management &amp; Remediation followed for DQ issue management &amp; remediation / resolution including, as a minimum, the following:
• The development of a remediation plan. The remediation plan must include the following, as a minimum:
• A "Root Cause" analysis to determine the causes of the identified DQ issue.
• An Impact analysis to assess the negative consequences and determine an issue level (whether it is local / limited, or at the Entity level).
• The definition &amp; identification of the DQ Targets set for each of the issues &amp; challenges, related to each DQ Dimension, depending on the context of the issue / challenge within the Entity.
• The definition &amp; identification of the options for resolving the issue's "Root Cause", including a feasibility analysis.
• The specifications of the Data Cleansing process to be performed if the solution does not correct the "Root Cause" of the DQ issue.
• The decision &amp; the logical rationale for selecting the specific option (chosen) to solve the issue.
• The implementation status of the issue's most suitable resolution choice (including any change).
• The review of the implemented resolution and a verification that the issue is resolved.
• Establishing &amp; developing a roadmap and milestones for the resolution of the noticed &amp; identified DQ issues.
• Allocating the necessary resources to implement the DQ issue identification plan.</t>
  </si>
  <si>
    <t>DQ.2.3</t>
  </si>
  <si>
    <t>The Planned &amp; Conducted Initial &amp; Periodic Data Quality Assessment Report.</t>
  </si>
  <si>
    <t>The Entity must attach a report clarifying the initial &amp; periodic DQ assessment, which was planned for and conducted (already). The assessment must include the following, as a minimum:
• Collecting business requirements for the Quality of Data in the scope.
• Establishing &amp; defining DQ Rules based on the collected business requirements specifically.
• Performing a check by Data Profiling based on the Predefined DQ Rules.
• Reporting the discovered and identified DQ comments &amp; issues to the concerned / relevant department in the Entity.
• Developing plans (with key milestones) for resolving the discovered &amp; identified DQ issues.</t>
  </si>
  <si>
    <t>DQ.1.3</t>
  </si>
  <si>
    <t>DQ.C.1.3</t>
  </si>
  <si>
    <t>The Resolution Status Report of the Identified DQ Issues.</t>
  </si>
  <si>
    <t>The Entity must attach a report presenting the resolution status of the identified DQ issues, including:
• The implementation status of the issue's most suitable resolution choice.
• The review of the implemented resolution and a verification that the issue is resolved.</t>
  </si>
  <si>
    <t>DQ.2.3.2</t>
  </si>
  <si>
    <t>Evidences of DQ Tools Used for Automating DQ Issue Management Workflows.</t>
  </si>
  <si>
    <t>The Entity must attach a report showing the activation of DQ tools used to implement DQ issue management and presenting the following tools capabilities, as a minimum:
1. Data Profiling Statistical Data analysis on the following levels: Data attributes, tables, cross Domain and different systems.
2. DQ Rules Management DQ rules establishment, development and execution.
3. DQ Issues Management Automation of workflows for reporting and resolving DQ issues.</t>
  </si>
  <si>
    <t>DQ.2.5</t>
  </si>
  <si>
    <t>DQ.C.2.5</t>
  </si>
  <si>
    <t>The Defined &amp; Implemented DQ Service Level Agreements (SLAs).</t>
  </si>
  <si>
    <t>The Entity must attach the defined DQ SLAs including the following, as a minimum:
• A timeline and a deadline for the development of a remediation plan for the identified DQ issue.
• A timeline and a deadline for the implementation and the review of the DQ changes.
• The escalation actions to be taken when the SLA is not met.</t>
  </si>
  <si>
    <t>DQ.2.4</t>
  </si>
  <si>
    <t>DQ.C.2.4</t>
  </si>
  <si>
    <t>The List of DQ System Enforcements Adopted by the Entity.</t>
  </si>
  <si>
    <t>The Entity must attach a report clarifying the list of DQ System Enforcements adopted by the Entity (e.g., The Standard Implementation Mechanism &amp; the Standard Implementation Result).</t>
  </si>
  <si>
    <t>DQ.M.10</t>
  </si>
  <si>
    <t>The Monitoring Report of the DQ Management Practices with Pre-defined KPIs.</t>
  </si>
  <si>
    <t>The entity must attach an updated report, approved by the entity’s authority holder on 
measuring the effectiveness of implementing DQ improvement practices based on pre_x0002_defined and identified KPIs and indicator cards. These KPIs must include the following, at
a minimum:
• The number of resolved DQ issues vs the number of reported DQ issues.
• The number of DQ issues resolved after the specified deadlines.
• The total time of remediation plan development for a discovered DQ issue.
• The total time of resolving a DQ issue (A “Root Cause” resolution implementation).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</si>
  <si>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DQ.M.11</t>
  </si>
  <si>
    <t>The Monitoring Report of the DQ Threshold Values.</t>
  </si>
  <si>
    <t>The Entity must attach an approved report on monitoring and updating the threshold Values for each DQ Rule.</t>
  </si>
  <si>
    <t>DQ.M.12</t>
  </si>
  <si>
    <t>The Monitoring Report of the DQ Issue Resolution Process.</t>
  </si>
  <si>
    <t>The Entity must attach an updated &amp; approved monitoring report on the DQ issue resolution process including the following, as a minimum:
• The number of resolved DQ issues vs the number of reported DQ issues.
• The number of DQ issues resolved after the specified deadlines.
• The total time of remediation plan development for a discovered DQ issue.
• The total time of resolving a DQ issue (A “Root Cause” resolution implementation).</t>
  </si>
  <si>
    <t>DQ.3.2</t>
  </si>
  <si>
    <t>DQ.C.3.2</t>
  </si>
  <si>
    <t>The Continuous Improvement Report on the Tools Used for DQ.</t>
  </si>
  <si>
    <t>The entity must attach an updated and approved report demonstrating that the entity periodically monitors and regularly improves the tools used for data quality in accordance with the results of performance indicator measurements, as well as relevant updates and developments in the field. The report must include, at a minimum, the following:
• Reviews conducted.
• The results of each review.
• Improvements that have been implemented (with supporting documentation).</t>
  </si>
  <si>
    <t>DQ.M.13</t>
  </si>
  <si>
    <t>The Continuous Improvement Report on the DQ Management Practices.</t>
  </si>
  <si>
    <t>The entity must attach an updated and approved report demonstrating that the entity has identified, implemented, and is consistently monitoring mechanisms for the continuous improvement of data quality management practices in accordance with the results of performance indicator measurements, as well as relevant updates and developments in the field. The report must include, at a minimum, the following:
• Reviews that have been conducted.
• The results of each review.
• Improvements that have been implemented (with supporting documentation).
•  Results of measuring the impact of data quality management practices on improving the entity's data quality across all its systems based on its targets (with supporting documents).</t>
  </si>
  <si>
    <t>DQ.M.14</t>
  </si>
  <si>
    <t>The Implemented / Adopted DQ Industry Standards.</t>
  </si>
  <si>
    <t>The Entity must provide evidence of the adopted DQ Management Standards (e.g., ISO 8000).</t>
  </si>
  <si>
    <t>DQ.M.15</t>
  </si>
  <si>
    <t>DQ.MQ.3</t>
  </si>
  <si>
    <t>The Existing DQ Monitoring Practices.</t>
  </si>
  <si>
    <t>The Entity must attach an updated &amp; approved report clarifying the Entity’s current DQ monitoring practices.</t>
  </si>
  <si>
    <t>DQ.M.16</t>
  </si>
  <si>
    <t>Evidence of the Entity's Current DQ Status.</t>
  </si>
  <si>
    <t>The Entity must attach an updated &amp; approved report showing the current DQ situation.</t>
  </si>
  <si>
    <t>DQ.M.17</t>
  </si>
  <si>
    <t>The Defined and Formalized DQ Monitoring Plan.</t>
  </si>
  <si>
    <t>The Entity must attach the defined DQ monitoring plan showing activities required to monitor and document the data quality status on a regular with the assigned resources for implementation.</t>
  </si>
  <si>
    <t>DQ.C.2.2.1</t>
  </si>
  <si>
    <t>The Defined DQ Checkpoints Report.</t>
  </si>
  <si>
    <t>The Entity must attach a report clarifying specific Checkpoints defined for DQ Monitoring.</t>
  </si>
  <si>
    <t>DQ.M.18</t>
  </si>
  <si>
    <t>DQ Scorecards or Dashboards.</t>
  </si>
  <si>
    <t>The Entity must attach a report illustrating DQ scorecards or DQ dashboards. This should include the following, as a minimum:
• Execution of the defined DQ rules which according to defined triggering conditions (time schedule, event).
• Reporting of the noticed and identified DQ issues to Data Stewards &amp; Owners, (As a minimum: A Business Data Steward &amp; a Business Data Executive).</t>
  </si>
  <si>
    <t>DQ.C.2.2.2</t>
  </si>
  <si>
    <t>A Report on the Data Quality Metadata Logged on the Data Catalog Tool.</t>
  </si>
  <si>
    <t>The Entity must attach a report presenting the DQ Metadata registered in the Data Catalog Tool as per the process identified in the MCM Domain (Data Catalog &amp; Metadata Management / Management of the Catalog &amp; Metadata). The DQ Metadata must include the following, as a minimum:
• The existing DQ Rules.
• The DQ Monitoring process results.</t>
  </si>
  <si>
    <t>DQ.4.3</t>
  </si>
  <si>
    <t>DQ.C.4.3</t>
  </si>
  <si>
    <t>Evidence of a Data Quality Support Process Implemented as a Workflow.</t>
  </si>
  <si>
    <t>The Entity must attach a report illustrating DQ Support implemented as a workflow process to solve the issues discovered during the DQ reviews. The report must include the following, as a minimum:
• A clear process that enables data users to report DQ issues to Business Data Stewards.
• A workflow plan in the automated Data Catalog tool.</t>
  </si>
  <si>
    <t>DQ.4.2</t>
  </si>
  <si>
    <t>DQ.C.4.2</t>
  </si>
  <si>
    <t>The Results of the DQ Checkpoint Reviews.</t>
  </si>
  <si>
    <t>The Entity must attach a report clarifying the review / audit results of the DQ Checkpoints including the following, as a minimum:
• A log containing the detected DQ issues.
• A remediation plan for the detected DQ issues.</t>
  </si>
  <si>
    <t>DQ.4.1</t>
  </si>
  <si>
    <t>DQ.C.4.1</t>
  </si>
  <si>
    <t>Trends from the DQ Monitoring Activities with Pre-defined KPIs.</t>
  </si>
  <si>
    <t>The Entity must attach an updated &amp; approved report about the trends of the DQ monitoring activities which are based on the data of the Predefined KPIs (indicator cards) including the following, as a minimum:
• The number of DQ issues reported based on the established &amp; implemented DQ Rules.
• The number of DQ issues reported by the Data Catalog users.
• The number of the DQ Rules deployed.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</si>
  <si>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DQ.3.1</t>
  </si>
  <si>
    <t>DQ.C.3.1</t>
  </si>
  <si>
    <t>The Continuous 
Improvement Report on the 
DQ Monitoring and 
Reporting Practices.</t>
  </si>
  <si>
    <t>The entity must attach an updated and approved report demonstrating continuous improvement in data quality monitoring and reporting practices, in accordance with the results of performance indicator measurements and relevant field developments and advancements. At a minimum, the report must include the following:
• Reviews conducted.
• Results of each review.
• Improvements that have been implemented (with supporting documentation).</t>
  </si>
  <si>
    <t>DQ.M.19</t>
  </si>
  <si>
    <t>DQ.MQ.4</t>
  </si>
  <si>
    <t>The Existing List of Data Standards and Data Definitions.</t>
  </si>
  <si>
    <t>The Entity must attach an updated &amp; approved report listing the current DQ standards and explaining the Data definitions.</t>
  </si>
  <si>
    <t>DQ.M.20</t>
  </si>
  <si>
    <t>The Developed Data Standards for Data Elements.</t>
  </si>
  <si>
    <t>The Entity must attach an updated &amp; approved report clarifying the Standards developed for the Data Elements.</t>
  </si>
  <si>
    <t>DQ.M.21</t>
  </si>
  <si>
    <t>The Identified Metadata with their Definitions.</t>
  </si>
  <si>
    <t>The Entity must attach an updated &amp; approved report clarifying the identified Metadata with their definitions.</t>
  </si>
  <si>
    <t>DQ.M.22</t>
  </si>
  <si>
    <t>The Identified Datasets to be Published on the National Data Catalog (NDC).</t>
  </si>
  <si>
    <t>The Entity must attach an updated &amp; approved report showing the identified datasets to be published on the National Data Catalog (NDC).</t>
  </si>
  <si>
    <t>DQ.M.23</t>
  </si>
  <si>
    <t>A Report about the Data Standards &amp; the Data Definitions which the Entity Uploaded on the NDC.</t>
  </si>
  <si>
    <t>The Entity must attach an updated &amp; approved report proving that the Entity’s Data Standards &amp; Data Definitions have been published on the National Data Catalog (NDC).</t>
  </si>
  <si>
    <t>DQ.M.24</t>
  </si>
  <si>
    <t>The Entity-Specific List of Applied Data Definitions and Applied Data Standards.</t>
  </si>
  <si>
    <t>The Entity must attach an updated &amp; approved report listing the approved Entity specific definitions &amp; Data standards.</t>
  </si>
  <si>
    <t>DQ.M.25</t>
  </si>
  <si>
    <t>A Monitoring Report for the Data Definitions and Data Standardization with Pre-defined KPIs.</t>
  </si>
  <si>
    <t xml:space="preserve"> The entity must attach an updated report, approved by the entity’s authority holder on measuring the effectiveness of implementing monitoring Data Definitions and Standardizations based on pre-defined and identified KPIs and indicator cards, including the following, at a minimum:
•  The percentage of defined Data Elements.
•  The percentage of business Metadata attributes which are defined and published to the NDC.
•  The percentage of technical Metadata attributes which are defined and published on the NDC.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</si>
  <si>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DQ.M.26</t>
  </si>
  <si>
    <t xml:space="preserve"> The continuous Improvement 
Report for Optimizing the 
Data Standards and 
Definitions within the Entity 
and on the NDC.</t>
  </si>
  <si>
    <t xml:space="preserve"> The entity must attach an updated &amp; approved report presenting regular reviews and 
continuous improvements of Data Standards &amp; Data Definitions both: within the entity 
and on the National Data Catalog (NDC) based on the results of the KPI measurements 
and relevant updates and developments in the domain, including the following, at a 
minimum:
 The documents of the periodic reviews &amp; documented results of the 
Data Standards &amp; Data Definitions.
 The continuous improvement mechanisms of the Data Standards &amp; 
Data Definitions.
 Improvements implemented (with supporting documents).</t>
  </si>
  <si>
    <t>DQ.M.27</t>
  </si>
  <si>
    <t xml:space="preserve">Personal Data Protection </t>
  </si>
  <si>
    <t>PDP</t>
  </si>
  <si>
    <t>PDP.MQ.1</t>
  </si>
  <si>
    <t>Evidences of the existing practices of the PDP Domain and Data Privacy.</t>
  </si>
  <si>
    <t>A report must be attached showing current PDP &amp; data privacy practices, including proofs for those practices.</t>
  </si>
  <si>
    <t>PDP.M.1</t>
  </si>
  <si>
    <t>The Initial PDP Assessment Result.</t>
  </si>
  <si>
    <t>The assessment should be aligned with national Personal Data Protection Law (PDPL) and include the following, as a minimum:
• Identification of the types of personal data being collected.
• Location &amp; method of personal data storage.
• Current processing &amp; uses of the personal data.
• Privacy challenges to meet compliance with the Personal Data Protection Regulations published by NDMO-SDAIA.</t>
  </si>
  <si>
    <t>PDP.1.1</t>
  </si>
  <si>
    <t>PDP.C.1.1</t>
  </si>
  <si>
    <t>The Approved PDP implementation plan.</t>
  </si>
  <si>
    <t>The plan should include the following, as a minimum:
• A roadmap of activities &amp; milestones to achieve conformity commitment and maintain full compliance with the PDP Policies published by NDMO-SDAIA. The activities shall include what is necessary to achieve the PDP Domain specifications, as a minimum.
• Allocating the required resources &amp; budget to achieve full compliance with the PDP Policies published by NDMO-SDAIA</t>
  </si>
  <si>
    <t>PDP.1.2</t>
  </si>
  <si>
    <t>The PDP Training plan.</t>
  </si>
  <si>
    <t>A report must be attached including an approved valid plan for training the Entity’s employees in the PDP Domain, including, as a minimum:
• The scope &amp; objectives of the training process including the various PDP Domain topics mentioned in the “Data Management and Personal Data Protection (DM &amp; PDP) Standards” document.
• The methods &amp; channels through which the training plan will be implemented.
• The training plan execution dates.</t>
  </si>
  <si>
    <t>PDP.M.2</t>
  </si>
  <si>
    <t>The PDP Plan Implementation Status Report.</t>
  </si>
  <si>
    <t>A report must be attached demonstrating PDP plan implementation status including,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</si>
  <si>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PDP.M.3</t>
  </si>
  <si>
    <t>Evidence of PDP training activities conducted.</t>
  </si>
  <si>
    <t>A report must be attached showing the implementation status of the PDP training for all employees including, as a minimum:
• The details of the training conducted for the Entity’s employees.
• The training targets audience.
• The methods &amp; channels for the training.
• The number of the Entity’s employees who were trained in the PDP Domain, and a list of training topics including:
◦ Importance of Personal Data Protection and the Impacts and consequences to the Entity and / or Data Subject.
◦ Definition of Personal Data.
◦ Data Subject Data Rights.
◦ Entity and Data Subject Responsibilities.
◦ Notifications as for when the Entity and / or Data Subject should be notified and how to handle inquiries about personal data collection, processing and sharing.</t>
  </si>
  <si>
    <t>PDP.2.1</t>
  </si>
  <si>
    <t>PDP.C.2.1</t>
  </si>
  <si>
    <t>The Monitoring Report for the PDP Plan with Predefined KPIs.</t>
  </si>
  <si>
    <t>The monitoring report must be prepared based on Predefined KPIs, and each indicator’s data or card should include the following, as a minimum: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</si>
  <si>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PDP.M.4</t>
  </si>
  <si>
    <t>Review report and continuous improvement of the personal data protection plan.</t>
  </si>
  <si>
    <t xml:space="preserve"> The entity must attach an updated report, approved by the entity’s authority holder presenting continuous improvement of the PDP plan based on the results of the KPI measurements and relevant updates and developments in the domain containing the following, at a minimum:
 Reviews conducted.
 Results of each review.
 Improvements implemented (with supporting documents). </t>
  </si>
  <si>
    <t>PDP.M.5</t>
  </si>
  <si>
    <t>PDP.MQ.2</t>
  </si>
  <si>
    <t>Evidences of the existing initiatives for PDP and Data Privacy.</t>
  </si>
  <si>
    <t>Proofs must be attached for the current PDP &amp; Data Privacy initiatives performed by the Entity. For example, not limited to:
• The Entity’s current PDP policies &amp; processes.
• Any documents presenting the personal data breach identifications.
• The documentation of the Entity’s current practices of consent management, and the rights of the Data Subjects.
• Privacy risk assessments conducted by the Entity.</t>
  </si>
  <si>
    <t>PDP.M.6</t>
  </si>
  <si>
    <t>The documented Data Breach Notifications Process.</t>
  </si>
  <si>
    <t>The entity must attach a document of processes for data breach notifications of, as it requires the person in charge of data control or data processing who deals with personal data at the entity to notify the regulatory authority in the event of breach of personal data, within the time frame specified in the personal data protection policy issued for the National Data Management Office; Note that the time frame for reporting is 72 hours.
 Please refer to PDPL rules and executive regulations issued by NDMO-SDAIA for more detailed requirements.</t>
  </si>
  <si>
    <t>PDP.M.7</t>
  </si>
  <si>
    <t>The documented Data Breach Management Process.</t>
  </si>
  <si>
    <t>A document must be attached containing the procedures &amp; processes of Data Breach Management. The Data Breach Handling Management Process shall include, as a minimum:
• Conducting an incident review by the Data Controller / Data Protection Controller with the Regulatory Authority.
• Formulating an immediate response to the incident by the Data Controller and/or Data Processor.
• Implementing the permanent corrective actions as issued by the Regulatory Authority.
• Testing the implemented corrective actions to validate the PDP solution(s) efficiency.</t>
  </si>
  <si>
    <t>PDP.3.2</t>
  </si>
  <si>
    <t>PDP.C.3.2</t>
  </si>
  <si>
    <t>Entity-Specific PDP Policies.</t>
  </si>
  <si>
    <t xml:space="preserve"> The entity shall attach its PDP Policies document approved by the authority holder, for the protection of its personal data. The policy must include the entity's commitment to the PDPL rules and its executive regulations issued by NDMO-SDAIA.
The PDP Policies must include:
• Policy Name.
• Release date.
• Version number.
• Document control (Preparation, review, approval).
• Policy Statement.
• Job roles &amp; responsibilities.
• Version history / record.
• Terminologies.
• Objective.
• Scope of work.
• References.
• Policy Owner.</t>
  </si>
  <si>
    <t>PDP.M.8</t>
  </si>
  <si>
    <t>The PDP &amp; Data Privacy Notice and the Consent Management Process.</t>
  </si>
  <si>
    <t>The Entity shall attach a document containing the procedures &amp; processes of the PDP / Privacy Notice and Consent Management Process considering the following components, as a minimum:
• Define and document the processes of providing Data Subjects with notice and requesting consent at all the data lifecycle phases where/when data is collected as prescribed by the PDP Policies &amp; Regulations published by NDMO-SDAIA.
• The Entity shall provide the Data Subject with all possible options; and the Entity must get the Data Subject’s (Explicit or Implicit) consent / approval regarding the collection, use or disclosure of personal data.
• The Entity shall document and make available a PDP/Privacy Notice for Data Subjects to read / review before or at the time the Entity requests permission to collect personal data.</t>
  </si>
  <si>
    <t>PDP.4.1</t>
  </si>
  <si>
    <t>PDP.C.4.1.1</t>
  </si>
  <si>
    <t>The Data Subjects' Rights Management Processes.</t>
  </si>
  <si>
    <t>The Entity shall attach the Data Subjects Rights Management procedures &amp; processes document as it’s a must to establish &amp; document the operations to support the rights of Data Subjects, in compliance with the PDP Policies &amp; Regulations published by NDMO-SDAIA, whereby a Data Subject enjoys the following rights:
• Right to be informed.
• Right to access.
• Right to rectify / correct.
• Right to erase or destroy.
• Right to object.
• Right to restrict processing.
• Right to data portability / transfer.
The Entity should inform the Data Subjects about their rights and provide possible means by which Data Subjects requests are submitted, responded to and tracked.</t>
  </si>
  <si>
    <t>PDP.4.2</t>
  </si>
  <si>
    <t>PDP.C.4.2.1</t>
  </si>
  <si>
    <t>The Developed &amp; Adopted Consent Management Workflow.</t>
  </si>
  <si>
    <t>Evidences shall be attached proving the automation of the developed &amp; approved workflow for the consent management process.</t>
  </si>
  <si>
    <t>PDP.M.9</t>
  </si>
  <si>
    <t>Evidences of Notifications Sent to the Regulatory Authority within the Allotted Timeframe.</t>
  </si>
  <si>
    <t>Evidences shall be attached proving that the notifications were sent by the person in charge of data control or data processing who deals with personal data at the entity, to the regulatory/legislative authority within the specified reporting time frame of 72 hours. If no incident occurred, an approved letter should be attached.</t>
  </si>
  <si>
    <t>PDP.3.1</t>
  </si>
  <si>
    <t>PDP.C.3.1</t>
  </si>
  <si>
    <t>Evidences of Data Breach Management Including Identified Data Breaches.</t>
  </si>
  <si>
    <t>Evidences shall be attached proving that Data Breach Management, including the identification &amp; detection of data breaches which occurred. If no incident occurred, an approved letter should be attached.</t>
  </si>
  <si>
    <t>The Results of the PDP Risk Assessments.</t>
  </si>
  <si>
    <t>The Entity shall attach a document containing the procedures &amp; processes of the PDP risk assessments plan / operations, as it’s a must that the Entity conducts a yearly risk assessment of the operation and use of the information systems containing personal data, including the collection &amp; processing of personal data, and the storage &amp; transmission of personal data by each system whether automated or manual. The risk assessment findings must be as follows, at minimum:
• Documented.
• Analyzed for impact and the occurrence likelihood.
• Evaluated against current regulations obligations and resolution criticality.</t>
  </si>
  <si>
    <t>PDP.4.3</t>
  </si>
  <si>
    <t>PDP.C.4.3</t>
  </si>
  <si>
    <t>Evidences of Published Data Subjects Rights Management Processes and Feedback Received from Data Subjects.</t>
  </si>
  <si>
    <t>Evidences shall be attached proving that processes were published clearly, feedback was collected from users, especially Data Subjects.</t>
  </si>
  <si>
    <t>PDP.C.4.2.2</t>
  </si>
  <si>
    <t>The PDP Register.</t>
  </si>
  <si>
    <t xml:space="preserve"> The entity should attach a report of the compliance records maintained (record of any collection or processing of any personal data), and evidence showing that the records 
were made available to the regulatory authority (NDMO) as defined in the PDPL rules and its executive regulations issued by NDMO-SDAIA.</t>
  </si>
  <si>
    <t>PDP.5.1</t>
  </si>
  <si>
    <t>PDP.C.5.1</t>
  </si>
  <si>
    <t>The Monitoring Report for the PDP &amp; Data Privacy Practices with Predefined KPIs.</t>
  </si>
  <si>
    <t>The entity must attach an updated report, approved by the entity’s authority holder, on monitoring the effectiveness of PDP processes based on pre-defined and identified KPIs 
and indicator 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</si>
  <si>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PDP.10</t>
  </si>
  <si>
    <t>The Compliance Monitoring Report &amp; Audit Results.</t>
  </si>
  <si>
    <t>The Entity shall conduct internal audits to monitor compliance with the PDP Rules &amp; Data Privacy Regulations and shall document its findings in a report presented to the Data Protection Officer. In non-compliance cases, the Entity shall take corrective actions and notify the Regulatory Authority and the NDMO and shall document the corrective actions within the audit findings report.</t>
  </si>
  <si>
    <t>PDP.4.4</t>
  </si>
  <si>
    <t>PDP.C.4.4</t>
  </si>
  <si>
    <t>The Documented Periodic Reviews &amp; Outcomes for the PDP &amp; Data Privacy Practices.</t>
  </si>
  <si>
    <t>A report must be attached including updated PDP &amp; Data Privacy processes &amp; practices documents, showing the operations of reviewing the PDP &amp; Data Privacy processes &amp; procedures. 
Based on the identified matters / issues, such as risk re assessment, the Entity must update the documents (Policies &amp; Procedures for combating everything related to breaching Data Privacy) and must attach an evidence of such reviews.</t>
  </si>
  <si>
    <t>PDP.11</t>
  </si>
  <si>
    <t>Evidences of Automation &amp; Change Management for PDP.</t>
  </si>
  <si>
    <t>1-The entity must address changes on The PDP processes &amp; practices and must attach continuous improvement mechanisms to prove effective Change Management in relation to The required changes.
2-The entity must attach an evidence of process automation (an updated workflow, any system changes) to include these changes as part of The implementation.</t>
  </si>
  <si>
    <t>PDP.12</t>
  </si>
  <si>
    <t xml:space="preserve">Data Value Realization </t>
  </si>
  <si>
    <t>DVR</t>
  </si>
  <si>
    <t>DVR.MQ.1</t>
  </si>
  <si>
    <t>The Existing List of Data Value Realization (DVR) Activities.</t>
  </si>
  <si>
    <t>A document must be attached covering a Proof-of-Concept (POC), or other temporary tasks performed as practices that support Data Value &amp; Benefit Realization within the Entity. The document must include the following:
• The currently existing DVR Domain practices.
• A separate description for each activity including, as a minimum:
◦ The name of the activity.
◦ The purpose of the activity.
◦ The achieved or expected output of the activity.</t>
  </si>
  <si>
    <t>DVR.M.1</t>
  </si>
  <si>
    <t>The Data Value Realization (DVR) plan.</t>
  </si>
  <si>
    <t>A recent and authorized Data Value Realization Plan, approved by the relevant authority, must be attached to activate the potential for generating revenue from data (profit-driven data revenue) and to enable data-driven cost reduction initiatives. The plan must include, at a minimum, the following:
• A roadmap outlining the activities and milestone objectives for Data Value Realization Use Cases. The activities must include, at a minimum, the necessary steps to meet the specifications of this domain.
• Allocation of the required resources and budget for managing the implementation of Data Value Realization Use Cases.</t>
  </si>
  <si>
    <t>DVR.1.2</t>
  </si>
  <si>
    <t>DVR.C.1.2</t>
  </si>
  <si>
    <t>The List of Identified Use Cases for Both Revenue Generation &amp; Cost Optimization.</t>
  </si>
  <si>
    <t>A document must be attached covering the DVR use cases. Each use case should be documented with the following details, as a minimum:
• Name of use case.
• Type of use case e.g.:
 1- Data Revenue Generation Use Cases – Data or Data Products which generate revenue for the Entity.
 2- Cost Saving Use Cases – Data related cases which will directly or indirectly contribute to reducing expenses and achieving greater efficiency.
• The stakeholders required to implement the use cases, the official who will lead the use case, and the target beneficiary who will benefit from the implementation of the use case.
•  A list of business requirements needed to implement the use cases.
•  Data sources and required data fields.
•  The technology required to implement the use cases.</t>
  </si>
  <si>
    <t>DVR.1.1</t>
  </si>
  <si>
    <t>DVR.C.1.1.1</t>
  </si>
  <si>
    <t>A Document Explaining the Payback Period and Return on Investment (ROI) for Each Identified Use Case.</t>
  </si>
  <si>
    <t>A document must be attached containing an estimation of the payback period and the ROI for each DVR use case.</t>
  </si>
  <si>
    <t>DVR.C.1.1.2</t>
  </si>
  <si>
    <t>Report on DVR Monitoring &amp; Maintenance.</t>
  </si>
  <si>
    <t>A report on the monitoring and maintenance status of data value realization use cases must be attached. The report should include, at a minimum, the following:
• Measurement and Verification of Key Performance Indicators (KPIs): Track and verify KPIs (Return on Investment (ROI) and Cost Recovery Period) against the target income value outlined in the data value realization and income plan.
• Creation/Development of Change Request (CR) Documents: Develop or update files/documents for Change Requests (CR) to address change requirements from end-users.
• Reporting Defects and Failures: Report any defects or malfunctions in the implemented use cases.</t>
  </si>
  <si>
    <t>DVR.3.1</t>
  </si>
  <si>
    <t>DVR.C.3.1</t>
  </si>
  <si>
    <t>Status Report on the Implementation of the Data Value Realization Plan.</t>
  </si>
  <si>
    <t>A status report on the implementation of the Data Value Realization Plan and its roadmap must be attached. The report must include, at a minimum, the following:
• Initiative and Project Status: Indicate the status of each initiative or project (not started, in progress, completed, or delayed), along with details of any delays or challenges.
• Progress Percentages: Provide progress percentages for the activities and milestone objectives outlined in the plan and roadmap, with clear details on the actual activities that have been executed.
• Supporting Evidence: Attach proof of progress/achievements, such as reports, images, documents, or meeting minutes that substantiate the implementation status.</t>
  </si>
  <si>
    <t>DVR.M.2</t>
  </si>
  <si>
    <t>Organizational Structure for Data Value Realization Activities.</t>
  </si>
  <si>
    <t>Attached a documented and authorized organizational structure for Data Value Realization activities, approved by the relevant authority. The structure must include, at a minimum, the following:
• Roles &amp; responsibilities.
• Approved job descriptions for each role.
• Authorization: Reviews, approvals and decision making.</t>
  </si>
  <si>
    <t>DVR.M.3</t>
  </si>
  <si>
    <t>The Monitoring Report of the DVR use cases with predefined KPIs.</t>
  </si>
  <si>
    <t>The Monitoring Report of the implemented DVR Use Cases must be attached. The report must include the following indicators, as a minimum:
1- The number of Data Products developed.
2- The number (i.e., Quantity) of Data or Data Products revenue generation requests.
3- The DVR Use Case Payback period.
4- The DVR Use Case Return on Investment (ROI).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</si>
  <si>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DVR.4.1
(1, 2, 6, 7)</t>
  </si>
  <si>
    <t>DVR.C.4.1.1</t>
  </si>
  <si>
    <t>The Monitoring Report of the DVR Activities &amp; Plan with Predefined KPIs.</t>
  </si>
  <si>
    <t>The entity must attach an updated and authorized report by the responsible authority to monitor the effectiveness of the data value realization plan and activities, based on the predefined and identified Key Performance Indicators (KPIs) and scorecards.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</si>
  <si>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DVR.M.4</t>
  </si>
  <si>
    <t>Review &amp; Continuous Improvement Document of the DVR Plan.</t>
  </si>
  <si>
    <t>The entity must attach an updated and approved report that demonstrates continuous improvement in DVR domain, based on the results of performance indicator measurements, as well as relevant updates and developments in the field. The report must include, at a minimum, the following:
• Reviews that have been conducted.
• The results of each review.
• Improvements that have been implemented (with supporting documentation).</t>
  </si>
  <si>
    <t>DVR.M.5</t>
  </si>
  <si>
    <t>The Revised &amp; Updated DVR KPIs.</t>
  </si>
  <si>
    <t>A document must be attached that includes, at a minimum, the following:
A list of reviewed and updated Key Performance Indicators (KPIs) for data value realization. Each indicator’s scorecard must include, at a minimum, the following elements: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t>
  </si>
  <si>
    <t>DVR.M.6</t>
  </si>
  <si>
    <t>Evidences of New Partnerships (e.g., MoU, jointly developed use cases or products, etc.).</t>
  </si>
  <si>
    <t>A document must be attached proving new partnerships, which may contain proofs such as:
• Memorandum of Understanding (MoU): In the event of signing a Memorandum of Understanding, a copy of the MoU must be attached.
• Jointly Developed Use Cases or Data Products: If the partnership contributed to the development of new use cases or products, they must be documented and described. There must be a brief explanation of each use case and each data product, its purpose and the value it may provide.</t>
  </si>
  <si>
    <t>DVR.M.7</t>
  </si>
  <si>
    <t>DVR.MQ.2</t>
  </si>
  <si>
    <t>The Existing Practices Related to Supporting the Data Revenue Generation Process.</t>
  </si>
  <si>
    <t>A document must be attached containing the current practices which support Data revenue generation including a list of the current activities (reports and/or dashboards...etc.) related to the DVR Domain practices.</t>
  </si>
  <si>
    <t>DVR.M.8</t>
  </si>
  <si>
    <t>The Defined Pricing Scheme.</t>
  </si>
  <si>
    <t>A document must be attached containing an appropriate Pricing Model for any Data and for any Data Product that’s expected to generate revenue.</t>
  </si>
  <si>
    <t>DVR.2.1</t>
  </si>
  <si>
    <t>DVR.C.2.1</t>
  </si>
  <si>
    <t>The Data or Data Product Price Calculation.</t>
  </si>
  <si>
    <t>A document must be attached containing the total expense calculation for each Data or Data Product which is expected to generate revenue. The total cost shall include the following as a minimum:
• The Data Collection Cost – The total of the costs incurred for collecting, cleansing, and curating data.
• The Data Development Cost – The total of the costs incurred for developing analytical models, Data visualizations and other valueadded services provided on top of the collected data.</t>
  </si>
  <si>
    <t>DVR.2.2</t>
  </si>
  <si>
    <t>DVR.C.2.2</t>
  </si>
  <si>
    <t>The Adopted / Approved Charging Model for Each Data or Data Product.</t>
  </si>
  <si>
    <t>A document must be attached containing the approved Charging Calculation Model for each Data or Data Product that’s expected to generate revenue.
" Here are examples of Charging Calculation Models, but not limited to:
• The Subscription Model.
• The Consumption Based Model.
• The Freemium / Premium Model.
• The One Time Fee Model."
The fee calculation model(s) must be approved by the authorized person within the entity and must be valid/effective.</t>
  </si>
  <si>
    <t>DVR.2.3</t>
  </si>
  <si>
    <t>DVR.C.2.3</t>
  </si>
  <si>
    <t>Evidences of Revenue Generation Requests Submitted to the Data Management Office of the Entity.</t>
  </si>
  <si>
    <t>A document must be attached containing proofs of requests sent to DMO of the entity for revenue or income generation from Data or from Data products.  Each request shall include the following, as a minimum:
• The Description of the Data or the Data Product.
• The Documentation of the Data Product Pricing Scheme / Model &amp; the Service Pricing Scheme / Model.
• The Proposed Charging Model.
• The Proposed Final Unit Price.
• The Justification if the Final Unit Price does not follow the Cost Recovery Pricing Scheme.</t>
  </si>
  <si>
    <t>DVR.2.4</t>
  </si>
  <si>
    <t>DVR.C.2.4</t>
  </si>
  <si>
    <t>The Monitoring Report of the Data Revenue Generation Process with Predefined KPIs.</t>
  </si>
  <si>
    <t>The entity must attach an updated and approved report by the responsible authority to monitor the effectiveness of the Data Revenue Generation Process, based on predefined and identified Key Performance Indicators (KPIs) and scorecards. The report must include the following indicators, as a minimum:
1- The number of Data Products that generated revenue (from data products).
2- Total revenue generated from offering Data or Data Products.
3- The total cost saved from the implemented Cost Saving Use Cases.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</si>
  <si>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DVR.4.1
(3,4,5)</t>
  </si>
  <si>
    <t>DVR.C.4.1.2</t>
  </si>
  <si>
    <t>Continuous Improvement Report of the Data Revenue Generation Process.</t>
  </si>
  <si>
    <t>The Continuous Improvement Report for the Data Revenue Generation Process must be attached in accordance with the results of performance indicator measurements, relevant updates, and developments. It should include, at a minimum, the following:
• Innovation or improvement mechanisms used to continuously enhance and develop the Data Revenue Generation process.
• Documentation of periodic reviews and results of the pricing model, data pricing or data products pricing, and fee calculation model.
• New or innovative models developed for pricing, fee calculation, and revenue generation.
• Improvement recommendations or updates to the data revenue generation process based on the results of innovation, improvement, and reviews.</t>
  </si>
  <si>
    <t>DVR.M.9</t>
  </si>
  <si>
    <t>Document and Content Management</t>
  </si>
  <si>
    <t>DCM</t>
  </si>
  <si>
    <t>DCM.MQ.1</t>
  </si>
  <si>
    <t>Evidences of Existing DCM Activities.</t>
  </si>
  <si>
    <t>Evidences must be attached proving the existence of DCM activities, including what supports practicing a DCM activity such as:
• Copies / screenshots of e-mails.
• Copies / screenshots of documents.
• Screenshots of systems / tools.</t>
  </si>
  <si>
    <t>DCM.M.1</t>
  </si>
  <si>
    <t>The DCM Plan.</t>
  </si>
  <si>
    <t xml:space="preserve"> The entity must attach a recent DCM plan, approved by the entity’s authority 
holder that includes the following, at a minimum:
 A roadmap that includes the activities and milestones for the entity’s 
implementation of Documents and Content Management activities. 
The activities shall incorporate what is needed to achieve this 
Domain’s specifications, at a minimum.
 The assignment of required resources &amp; budget allocation to manage 
and implement activities included in the roadmap.</t>
  </si>
  <si>
    <t>DCM.1.1</t>
  </si>
  <si>
    <t>DCM.C.1.1</t>
  </si>
  <si>
    <t>The DCM Digitization Plan.</t>
  </si>
  <si>
    <t xml:space="preserve"> A report must be attached containing a recent DCM Digitization Plan, approved by the entity’s authority holder, and the implementation status with the necessary details as follows, at a minimum:
 Roadmap with the activities and key milestones for the migration of the entity's existing paper-based documents to the electronic format.The activities shall incorporate what is needed to achieve this Domain’s specifications, at a minimum.
 Roadmap with the activities and key milestones for the 
implementation of initiatives focused on eliminating the creation of paper-based documents in the entity and replacing them with 
electronic documents. The activities shall incorporate what is needed to achieve this domain’s specifications, at a minimum.
•  The assignment of required resources &amp; budget allocation to manage and implement activities included in the roadmap.</t>
  </si>
  <si>
    <t>DCM.1.2</t>
  </si>
  <si>
    <t>DCM.C.1.2</t>
  </si>
  <si>
    <t>The Developed Prioritization Process for Documents and Content.</t>
  </si>
  <si>
    <t>The Prioritization Process of Documents and Content must include the following, as a minimum:
• The definition of “Data Prioritization”.
• The prioritization matrix.
• The identification and definition of DCM procedures.
• The ranked list of prioritized document workflows.</t>
  </si>
  <si>
    <t>DCM.M.2</t>
  </si>
  <si>
    <t>The Identified DCM Processes / Procedures.</t>
  </si>
  <si>
    <t>The entity must identify the key processes that will represent the workflow of documents in the Document Management System and prioritize them to implement an automated Document Management System within the entity.</t>
  </si>
  <si>
    <t>DCM.1.4</t>
  </si>
  <si>
    <t>DCM.C.1.4.2</t>
  </si>
  <si>
    <t>The Ranked List of Prioritized Document Workflows to be Implemented.</t>
  </si>
  <si>
    <t xml:space="preserve">The Entity must attach a report clarifying a ranked list of tasks for each prioritized Workflow of Documents, including:
• The definition and rating of the workflows based on the level of importance and impact on business operations.
• The tasks of each prioritized Workflow based on the compliance requirements, risk factors, and operational needs.
• A clear implementation roadmap for each Workflow including the timelines and resource assignments.
</t>
  </si>
  <si>
    <t>DCM.C.1.4.1</t>
  </si>
  <si>
    <t>The Developed DCM Training Plan.</t>
  </si>
  <si>
    <t>The Entity must attach the developed DCM training plan, including:
• The target audience groups identified in the training plan, such as employees, managers, and IT staff.
• The developed training curricula, including presentations, handouts and online resources, designed / customized specifically to satisfy the identified &amp; defined needs.
• The training delivery staff’s assigned responsibilities, including trainers or facilitators.
• The training schedule.
- The training plan must be valid and approved by the entity’s authority holder</t>
  </si>
  <si>
    <t>DCM.M.3</t>
  </si>
  <si>
    <t>The DCM Plan Implementation Status Report.</t>
  </si>
  <si>
    <t xml:space="preserve"> The entity must attach a report of the DCM plan implementation status and roadmap, including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</si>
  <si>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DCM.M.4</t>
  </si>
  <si>
    <t>The Digitization Plan Implementation Status Report.</t>
  </si>
  <si>
    <t xml:space="preserve"> The entity must attach a report of the Digitization Plan implementation status 
and roadmap, including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</si>
  <si>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DCM.M.5</t>
  </si>
  <si>
    <t>The List of Prioritized Documents for Digitization.</t>
  </si>
  <si>
    <t>A report must be attached clarifying the prioritized list of documents to be digitized based on the Inventory of Data Elements within the Entity.</t>
  </si>
  <si>
    <t>DCM.1.3</t>
  </si>
  <si>
    <t>DCM.C.1.3</t>
  </si>
  <si>
    <t>The DCM Roles and Responsibilities.</t>
  </si>
  <si>
    <t xml:space="preserve"> The entity must attach job titles along with the roles and responsibilities for each position required to perform DCM tasks, approved by the entity’s authority holder</t>
  </si>
  <si>
    <t>DCM.M.6</t>
  </si>
  <si>
    <t>The DCM Training Plan Implementation Status Report.</t>
  </si>
  <si>
    <t xml:space="preserve"> The DCM Training Plan Implementation status report must be attached 
including the following, at a minimum:
 The objectives of the training program with the topics covering:
 Introduction of the DCM Policies.
 Introductory and advanced tutorials about DCM systems used by 
the entity and their functionalities.
 The dates and implementation status, as well as attaching supporting 
evidence of implementation.</t>
  </si>
  <si>
    <t>DCM.3.1</t>
  </si>
  <si>
    <t>DCM.C.3.1</t>
  </si>
  <si>
    <t>The Monitoring Reports with Pre-defined KPIs for the Implementation of the DCM Plan &amp; the DCM Digitization Plan.</t>
  </si>
  <si>
    <t>The entity must attach an updated and authorized report approved by the relevant authority to monitor the implementation of the Content and Document Management Plan and the Digitalization Plan for Content and Documents. This report should be based on predefined KPIs (Indicator Cards), covering:
•  The Monitoring Report with approved &amp; Predefined KPIs for the Implementation of the DCM Plan, with the Indicator Card(s) attached.
•  The Monitoring Report with approved &amp; Predefined KPIs for the Implementation of the Digitization Plan, with the Indicator Card(s) attached.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</si>
  <si>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DCM.M.7</t>
  </si>
  <si>
    <t>The Continuous Improvement Report of the DCM and Digitization plans.</t>
  </si>
  <si>
    <t>The entity must attach an up-to-date and approved report that demonstrates continuous improvement in the Content and Document Management Plan and the Digitalization Plan for Content and Documents domain, based on the results of performance indicator measurements, as well as relevant updates and developments in the field. The report must include, at a minimum, the following:
• Reviews Conducted.
• Results of each review.
• Improvements implemented (with supporting documentation).</t>
  </si>
  <si>
    <t>DCM.M.8</t>
  </si>
  <si>
    <t>DCM.MQ.2</t>
  </si>
  <si>
    <t>Evidences of Processes for Retaining &amp; Disposing of Documents.</t>
  </si>
  <si>
    <t xml:space="preserve"> Evidences must be attached, covering the Processes of Document Retention and Disposal, including what supports practicing each procedure / process such as:
• Copies / screenshots of e-mails.
• Copies / screenshots of documents.
• Screenshots of systems / tools.</t>
  </si>
  <si>
    <t>DCM.M.9</t>
  </si>
  <si>
    <t>The Developed Policy Document for the DCM Lifecycle.</t>
  </si>
  <si>
    <t>Across the DCM Lifecycle, the Entity must attach the developed Policies for each of the following, as a minimum:
• The Naming Convention Policies.
• Policies for assigning classification levels to documents.
• The Access Approval Policies.
• The Backup &amp; Recovery Policies.
• The Retention &amp; Disposal Policies.
Every Policy’s document must include, the following, as a minimum:
• Policy Name.
• Policy Owner.
• Release date.
• Version number.
• Document control (Preparation, review, approval).
• Version history.
• Terminology.
• Goal.
• Scope of work.
• Principles
• Policy Statement.
• Job roles &amp; responsibilities.
• Related Policies.
• References.</t>
  </si>
  <si>
    <t>DCM.2.1</t>
  </si>
  <si>
    <t>DCM.C.2.1</t>
  </si>
  <si>
    <t>The Developed DCM Backup &amp; Recovery Procedures.</t>
  </si>
  <si>
    <t>The Entity must attach reports showing evidence that the Entity has included the Document and Content Management Systems within its overall backup and recovery plan for DCM Backup &amp; Recovery.</t>
  </si>
  <si>
    <t>DCM.4.1</t>
  </si>
  <si>
    <t>DCM.C.4.1</t>
  </si>
  <si>
    <t>The Developed DCM Retention &amp; Disposal Procedures.</t>
  </si>
  <si>
    <t>The Entity must attach reports containing the documentations of the developed DCM Retention &amp; Disposal Processes/ Procedures.</t>
  </si>
  <si>
    <t>DCM.4.2</t>
  </si>
  <si>
    <t>DCM.C.4.2.1</t>
  </si>
  <si>
    <t>The Developed DCM Role-Based Access Approval Procedures.</t>
  </si>
  <si>
    <t>The Entity must attach reports containing the documentations of the developed DCM Access Approval &amp; Role-Based Access Authorization Processes.</t>
  </si>
  <si>
    <t>DCM.4.3</t>
  </si>
  <si>
    <t>DCM.C.4.3.1</t>
  </si>
  <si>
    <t>The Developed DCM Metadata Publishing Procedures.</t>
  </si>
  <si>
    <t>The Entity must attach reports containing the documentations of the developed processes for the following:
• Publishing the Metadata of Documents &amp; Contents.
• Classifying Documents &amp; Contents.</t>
  </si>
  <si>
    <t>DCM.M.10</t>
  </si>
  <si>
    <t>The Implemented Workflow for the DCM Retention &amp; Disposal Process.</t>
  </si>
  <si>
    <t>Evidence must be attached for the workflow performed for the Retention &amp; Disposal process. This shall include:
• Evidence of handover of documents to the Entity's archival facility.
• Evidence of physical destruction of documents, including overwriting and a secure deletion.</t>
  </si>
  <si>
    <t>DCM.C.4.2.2</t>
  </si>
  <si>
    <t>The Implemented Workflow for the DCM Access Approval Process.</t>
  </si>
  <si>
    <t>Evidence must be attached for the workflow performed for the Access Authorization Approval process based on job roles &amp; job tasks (A copy of the work procedure steps).</t>
  </si>
  <si>
    <t>DCM.C.4.3.2</t>
  </si>
  <si>
    <t>Evidences of Document Transfers to the Archival Facility (Archival Register).</t>
  </si>
  <si>
    <t>Evidences must be attached to prove transferring documents to the Entity’s Archival Facility / Archives Unit. (Registering the archive in a system), e.g.: Copies of Archived Documents.</t>
  </si>
  <si>
    <t>DCM.M.11</t>
  </si>
  <si>
    <t>The Documents Disposal Register.</t>
  </si>
  <si>
    <t>Evidences must be attached to prove the existence of a Register for logging the Disposal of Documents (A copy of the Documents Disposal Register).</t>
  </si>
  <si>
    <t>DCM.M.12</t>
  </si>
  <si>
    <t>The Access Rights Documentation.</t>
  </si>
  <si>
    <t>The Entity must attach the Access Rights Documentation including the following, as a minimum:
• The mechanism of accessing documents and contents clarifying the dependence of the role and job tasks.
• The identified Access Groups based on Data Classification Domain Standards &amp; Controls.</t>
  </si>
  <si>
    <t>DCM.M.13</t>
  </si>
  <si>
    <t>The Report on Document &amp; Content Metadata Publishing.</t>
  </si>
  <si>
    <t>The Entity must attach a report on Publishing Metadata of Documents &amp; Contents, including the following, as a minimum:
• The Metadata Standards.
• The Forms / Templates.
• The Data Catalog Integration document.</t>
  </si>
  <si>
    <t>DCM.4.4</t>
  </si>
  <si>
    <t>DCM.C.4.4</t>
  </si>
  <si>
    <t>The Monitoring Report with Predefined Key Performance Indicators (KPIs) of the DCM Processes Aligned with the Policies.</t>
  </si>
  <si>
    <t>The entity must attach an updated and authorized report, approved by the relevant authority, to monitor the effectiveness of content and document management processes and their compliance with policies. This report should be based on predefined and identified Key Performance Indicators (KPIs) and  indicator’s card, The report must include the following indicators, as a minimum:
•  The volume of the entity's documents stored in its Document Management System (DMS).
•  The number of users of the entity's Document Management System (DMS).
•  The percentage of paper documents converted into electronic formats.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</si>
  <si>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DCM.5.1</t>
  </si>
  <si>
    <t>DCM.C.5.1</t>
  </si>
  <si>
    <t>The Continuous Improvement Report on the DCM Processes and Practices.</t>
  </si>
  <si>
    <t xml:space="preserve"> The entity must attach the continuous improvement report of the DCM processes and 
practices, based on the results of the KPI measurements and relevant updates and 
developments in the domain containing the following, at a minimum:
 Evidence of DCM processes and practices automation.
 Review and results documentation: Periodic review and result 
documentation for DCM processes and practices.
 Continuous improvement mechanisms: Continuous improvement 
mechanisms for DCM processes and practices.</t>
  </si>
  <si>
    <t>DCM.M.14</t>
  </si>
  <si>
    <t>DCM.MQ.3</t>
  </si>
  <si>
    <t>Evidences of Document Storage / Retention &amp; Disposal Activities.</t>
  </si>
  <si>
    <t>The Entity must attach a report on the current activities related to document storage, document retention, and document disposal, including one of the following to support practicing each activity, e.g.:
• Copies / screenshots of e-mails.
• Copies / screenshots of documents.
• Screenshots of systems / tools.</t>
  </si>
  <si>
    <t>DCM.M.15</t>
  </si>
  <si>
    <t>The documented DCM tool requirements.</t>
  </si>
  <si>
    <t>The Entity must attach the documented DCM Tool requirements, including the following, as a minimum:
• The functional requirements of the tool.
• The non-functional requirements of the tool.
• The tool’s use case template / form.</t>
  </si>
  <si>
    <t>DCM.M.16</t>
  </si>
  <si>
    <t>The Implemented Tool for DCM.</t>
  </si>
  <si>
    <t>The Entity must attach evidences that the implemented DCM tool includes the following, as a minimum:
• Document Management System an application used to capture, store and manage documents in an electronic format (electronic documents and digital media). The selected DMS tool shall provide, at minimum, the following capabilities:
◦ Storage of documents.
◦ OCR (Optical Character Recognition) functionality to analyze imported images.
◦ Indexing of documents.
◦ Versioning of documents including tracking of the history of changes.
◦ Secured access to documents.
◦ Global search and discovery on the registered documents.
◦ Documents workflows development.
• Web Content Management System an application used to store and manage website Content used by the Entity's portals and internet sites.
• Collaboration tools – applications providing users with platform to collaborate real-time on electronic documents, communicate using chat and track changes in the documents.</t>
  </si>
  <si>
    <t>DCM.4.5</t>
  </si>
  <si>
    <t>DCM.C.4.5</t>
  </si>
  <si>
    <t>The Record of Digitized Documents.</t>
  </si>
  <si>
    <t>The Entity must attach an evidence of the number of Digitized Documents (A copy of the Record of Digitized Documents).</t>
  </si>
  <si>
    <t>DCM.M.17</t>
  </si>
  <si>
    <t>The List of Approved Users.</t>
  </si>
  <si>
    <t>The Entity must attach a list of the approved users of the DCM system / tool and their roles (Screenshots showing users and their roles).</t>
  </si>
  <si>
    <t>DCM.M.18</t>
  </si>
  <si>
    <t>The Monitoring Report on the Implemented Tool with Pre-defined Key Performance Indicators (KPIs).</t>
  </si>
  <si>
    <t>The entity must attach an updated and approved report by the responsible authority to monitor the implemented/applied tool, based on predefined Key Performance Indicators (KPIs) and indicator’s card.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</si>
  <si>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DCM.M.19</t>
  </si>
  <si>
    <t>The Continuous Improvement Report on the DCM Solution / Tool Design and DCM Practices.</t>
  </si>
  <si>
    <t xml:space="preserve"> The entity must attach the continuous improvement report regularly on the implemented tool performance, based on the results of the KPI measurements and relevant updates and developments in the domain, containing the following, at a minimum:
• Review and results documentation: Periodic review and results documentation for the performance of the implemented tool performance.
• Continuous improvement mechanisms: Mechanisms for the continuous improvement of the performance of the implemented tool performance.</t>
  </si>
  <si>
    <t>DCM.M.20</t>
  </si>
  <si>
    <t>Data Operations</t>
  </si>
  <si>
    <t>DO</t>
  </si>
  <si>
    <t>DO.MQ.1</t>
  </si>
  <si>
    <t>The Approved initial data operations and storage plan.</t>
  </si>
  <si>
    <t>The Entity must attach the initial Data Operations and Storage Plan including the following, as a minimum:
• A roadmap that includes the activities and milestones.
• The assignment of the required resources &amp; budget allocation.</t>
  </si>
  <si>
    <t>DO.M.1</t>
  </si>
  <si>
    <t>The Developed and Approved Data Operations and Storage Plan.</t>
  </si>
  <si>
    <t xml:space="preserve"> The entity must attach the developed Data Operations and Storage Plan, 
approved by the entity’s authority holder including the following, at a 
minimum:
 A roadmap that includes activities and milestones to 
implement Data Operations and Storage Plan within the 
entity. The activities must include what is necessary to 
achieve the domain’s specifications, at a minimum.
 The assignment of the required resources &amp; budget 
allocation to manage the activities included in the 
roadmap.</t>
  </si>
  <si>
    <t>DO.1.1</t>
  </si>
  <si>
    <t>DO.C.1.1</t>
  </si>
  <si>
    <t xml:space="preserve"> The Information Systems Priority List.</t>
  </si>
  <si>
    <t xml:space="preserve"> The entity must attach a prioritized lists of the information systems based 
on: 
 Their criticality to the business progress to ensure 
business continuity. 
 The system recovery order in the Disaster Recovery (DR) 
plan. </t>
  </si>
  <si>
    <t>DO.1.3</t>
  </si>
  <si>
    <t>DO.C.1.3</t>
  </si>
  <si>
    <t>The Developed and Approved Policies for Data Operations, Storage, Retention and Business Continuity.</t>
  </si>
  <si>
    <t>The Entity must attach a report on the Policies which are approved for Data Operations, storage, retention, and business continuity, including the following, as a minimum:
• Storage conditions which ensure Data protection in disaster events.
• Data retention periods based on Data type, Data Classification (DC) level, Data value for/in the business, and legal requirements.
• The disposal and destruction rules based on the Data type and classification level.
• The required actions in the event of an accidental permanent loss of Data.
Wherein each Policy document includes the following,  as a minimum:
• Policy title / name.
• Policy owner.
• Release date.
• Version number.
• Version history.
• Objective.
• Identified stakeholders, e.g.: Target audience.
• Communications process.
• Monitoring procedure.
• Document control (Preparation, review, approval).
• Policy Statement.
• Roles &amp; responsibilities.
• Terminology.
• Scope of work.
• Activation mechanisms.
• Approval.
• References.</t>
  </si>
  <si>
    <t>DO.2.1</t>
  </si>
  <si>
    <t>DO.C.2.1</t>
  </si>
  <si>
    <t>The Periodic Forecasting Plan for Storage Capacity.</t>
  </si>
  <si>
    <t>The Entity must attach a periodic forecast report on proactive planning to satisfy the expected storage capacity requirements, including the following, as a minimum:
• Previous (historical) Data storage capacities used.
• Performance Evaluation of the Entity’s applications and needs.
• A list of upcoming applications to be developed and built for the Entity.</t>
  </si>
  <si>
    <t>DO.1.2</t>
  </si>
  <si>
    <t>DO.C.1.2.1</t>
  </si>
  <si>
    <t>The Database Technology Evaluation Process and Selection Criteria.</t>
  </si>
  <si>
    <t>The Entity must attach the Database Technology Evaluation Process and Selection Criteria including the following, as a minimum:
• The Total Cost of Ownership (TCO) including, at least: licensing, support, training, and hardware.
• The availability of resources skilled in these technological solutions, both internally and in the job market.
• The presence of software tools related to the Database technologies being evaluated in the Entity.
• Volume and velocity limits of the utilized technologies.
• Reliability provided by the utilized technologies.
• Scalability of each technology.
• Security controls provided by the utilized technologies.</t>
  </si>
  <si>
    <t>DO.1.4</t>
  </si>
  <si>
    <t>DO.C.1.4.1</t>
  </si>
  <si>
    <t>The Data Operations and Storage plan with implementation status report.</t>
  </si>
  <si>
    <t>The Entity must attach the Data Operations and Storage Plans with a report clarifying the implementation status. The report must include, at a minimum, the following:
• Initiative and Project Status: Indicate the status of each initiative or project (not started, in progress, completed, or delayed), along with details of any delays or challenges.
• Progress Percentages: Provide progress percentages for the activities and milestone objectives outlined in the plan and roadmap, with clear details on the actual activities that have been executed.
• Supporting Evidence: Attach proof of progress/achievements, such as reports, images, documents, or meeting minutes that substantiate the implementation status.</t>
  </si>
  <si>
    <t>DO.M.2</t>
  </si>
  <si>
    <t>The Storage Trend Forecast Document.</t>
  </si>
  <si>
    <t>The Entity must attach a report clarifying the expected storage capacity, including the following, as a minimum:
• Forecasting the Entity’s future needs of Data storage capacity.
• Estimating budgets for future purchases of Data storage space.</t>
  </si>
  <si>
    <t>The Database Technology Evaluation Report.</t>
  </si>
  <si>
    <t>The Entity must attach a Database technology assessment report including the following, as a minimum:
• The performance of Database technologies.
• The availability of technical support for the current version of each Database technology.
• Technical support availability for software tools and operating systems of the Databases.</t>
  </si>
  <si>
    <t>DO.C.1.4.2</t>
  </si>
  <si>
    <t>The Document on the Entity's Application Performance Assessment.</t>
  </si>
  <si>
    <t>The Entity must attach an evaluation report on the performance of the Entity's applications, including the following, as a minimum:
• The number of transactions by each application used in the Entity.
• The percentage % of application utilization to perform the Entity’s work in an automated manner.
• Availability – Users Accessibility to the Entity’s applications.</t>
  </si>
  <si>
    <t>DO.M.3</t>
  </si>
  <si>
    <t>The Entity's Applications Development Roadmap with the Status Report on the Implementations.</t>
  </si>
  <si>
    <t>The Entity must attach a roadmap document for the upcoming applications to be developed and a report on their development statuses, including the following, as a minimum:
• The activities and milestones.
• Application development prioritization.
• Each application’s development status.</t>
  </si>
  <si>
    <t>DO.M.4</t>
  </si>
  <si>
    <t>The Budget Estimations of the Procurement Transactions of the Future Storage Needs.</t>
  </si>
  <si>
    <t>The Entity must attach a report clarifying the estimated budgets for future procurements of Data storage processes.</t>
  </si>
  <si>
    <t>DO.M.5</t>
  </si>
  <si>
    <t>The Data Operations Orchestration Document.</t>
  </si>
  <si>
    <t>The entity must attach a document on Data Operations Orchestration, including assigning teams to operate and maintain systems data, plus to process and analyze data</t>
  </si>
  <si>
    <t>DO.M.6</t>
  </si>
  <si>
    <t>The Monitoring Report with Pre-defined Key Performance Indicators (KPIs) for the Implementation Progress and Effectiveness of the Data Operations Plan.</t>
  </si>
  <si>
    <t xml:space="preserve"> The entity must attach an updated report, approved by the entity’s authority holder to monitor the progress and effectiveness of implementing the data storage operation plan based on pre-defined and indicated KPIs and Indicator Cards, including:
• Percentage of data storage capacity.
• Percentage of total data storage capacity used.
• Percentage of data storage capacity used by type of database.
• Percentage of data storage capacity used for backups.
• Number of performed data transactions.
• Average time of queries execution.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</si>
  <si>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DO.5.1</t>
  </si>
  <si>
    <t>DO.C.5.1</t>
  </si>
  <si>
    <t>The Continuous Improvement Report on the Practices of Data Operations, Storage, and Retention.</t>
  </si>
  <si>
    <t>The entity must attach an updated and approved report that demonstrating continuous improvement in data Operations plan, in accordance with the results of performance indicator measurements and relevant field developments and advancements. At a minimum, the report must include the following:
• Reviews conducted.
• Results of each review.
• Improvements implemented (with supporting documents).</t>
  </si>
  <si>
    <t>DO.M.7</t>
  </si>
  <si>
    <t>DO.MQ.2</t>
  </si>
  <si>
    <t>Evidences of Data Operations Done within the Entity.</t>
  </si>
  <si>
    <t>The Entity must attach evidences of the Database operations performed by the Entity (e.g. e-mails, screenshots).</t>
  </si>
  <si>
    <t>DO.M.8</t>
  </si>
  <si>
    <t>The Process Documentation of the Detailed Practices of Data Operations, (A. Database Monitoring).</t>
  </si>
  <si>
    <t>The Entity must attach the overall Process of the Detailed Practices of Database Monitoring, including the following, as a minimum:
• The process for monitoring and reporting database performance on regular basis.</t>
  </si>
  <si>
    <t>DO.3.1</t>
  </si>
  <si>
    <t>DO.C.3.1.1</t>
  </si>
  <si>
    <t>B. Database Access Control.</t>
  </si>
  <si>
    <t>The Entity must attach the Detailed process for providing the Entity's employees access to the databases.</t>
  </si>
  <si>
    <t>DO.3.2</t>
  </si>
  <si>
    <t>DO.C.3.2</t>
  </si>
  <si>
    <t>C. Storage Configuration Management.</t>
  </si>
  <si>
    <t>The entity must attach the detailed Practices of Storage Configuration Management including at a minimum:
• Configuration identification.
• Configuration change control.
• Configuration status accounting.
• Configuration audits.</t>
  </si>
  <si>
    <t>DO.3.3</t>
  </si>
  <si>
    <t>DO.C.3.3</t>
  </si>
  <si>
    <t>D. DBMS Versioning Mechanism.</t>
  </si>
  <si>
    <t>The Entity must attach the overall Process of the Detailed Practices of DBMS Versioning / Updating Mechanism Covering:
• The Management Plan of Updated Releases / Versions.
• The Strategy Including Analysis and Rationale.</t>
  </si>
  <si>
    <t>DO.3.4</t>
  </si>
  <si>
    <t>DO.C.3.4</t>
  </si>
  <si>
    <t>E. The Database Performance Service Level Agreements and Operational Level Agreements (SLAs &amp; OLAs).</t>
  </si>
  <si>
    <t>The Entity must attach the process for defining Database Performance Service Level Agreements and Operational Level Agreements (SLAs &amp; OLAs).</t>
  </si>
  <si>
    <t>DO.M.9</t>
  </si>
  <si>
    <t>The Database Monitoring Status Report.</t>
  </si>
  <si>
    <t>The Entity must attach a monitoring status report on Database performance, including the following, as a minimum:
• Capacity – The size of the unused storage.
• Availability – Users’ accessibility to the Entity’s Databases, as &amp; when needed.
• Queries Execution Performance – Query execution times, durations and errors.
• Tracking Changes – Tracking Database changes for root cause analysis, as &amp; when needed.</t>
  </si>
  <si>
    <t>DO.C.3.1.2</t>
  </si>
  <si>
    <t>The Data Operations operating model.</t>
  </si>
  <si>
    <t>The Entity must attach the approved Operational Model of Database Operations, including the following, as a minimum:
• The teams’ roles and responsibilities.
• The procedures and practices of Database Operations management.
• The technologies used to support Database Operations.</t>
  </si>
  <si>
    <t>DO.M.10</t>
  </si>
  <si>
    <t>Evidences of Agreements (SLAs and OLAs).</t>
  </si>
  <si>
    <t>The Entity must attach a report on Database performance agreements, e.g.: Service Level Agreements (SLAs) and Operational Level Agreements (OLAs); including the following, as a minimum:
• The timeframe of making the Database available for users.
• The maximum time allowed to complete electronic transactions on a specific application.
• Each agreement must clarify the escalation procedures to be followed when the agreement is violated.</t>
  </si>
  <si>
    <t>DO.3.5</t>
  </si>
  <si>
    <t>DO.C.3.5</t>
  </si>
  <si>
    <t>The Monitoring Report with Pre-defined KPIs for Database Operations Management.</t>
  </si>
  <si>
    <t xml:space="preserve"> The entity must attach an updated report, approved by the entity’s authority holder on monitoring Database Operations Management based on pre-defined and identified KPIs and indicator cards.Each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</si>
  <si>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DO.M.11</t>
  </si>
  <si>
    <t>The Continuous Improvement Report on the Implemented Practices and Processes of Data Operations and Storage.</t>
  </si>
  <si>
    <t>The entity must attach a continuous improvement report on the implemented practices and applied processes for data operations and storage procedures, based on the results of performance indicator measurements, updates, and relevant developments in the field. The report must include, at a minimum, the following:
• Evidence of the automation of data operations and storage processes.
• Review and Results Documentation: Periodic review and results documentation for data operations and storage processes.
• Continuous Improvement Mechanisms: Mechanisms for continuous improvement of data operations and storage processes.</t>
  </si>
  <si>
    <t>DO.M.12</t>
  </si>
  <si>
    <t>The Knowledgebase document.</t>
  </si>
  <si>
    <t>The Entity must attach a Knowledgebase document including the following, as a minimum:
• All lessons learnt, test / trial cases and user stories.
• The log of errors and issues.
• The solutions of the recorded errors and issues.</t>
  </si>
  <si>
    <t>DO.M.13</t>
  </si>
  <si>
    <t>DO.MQ.3</t>
  </si>
  <si>
    <t>Evidences of Data Storage Backup Instruction Documents.</t>
  </si>
  <si>
    <t>The Entity must attach a sample document of the Data storage backup instructions (e.g. e-mail, guide / manual).</t>
  </si>
  <si>
    <t>DO.M.14</t>
  </si>
  <si>
    <t>The Developed Processes and Practices for Data Storage Backups and Recovery.</t>
  </si>
  <si>
    <t>The Entity must attach the process and practices developed for the "Data Storage Backup" and "Data Backup Recovery", including the following, as a minimum:
• Defining and determining the backup frequency of each information system.
• Scope of backup for each information system including the scope of Data and the scope of Database transaction logs.
• Location of backup files including a storage medium and a physical location.
• Periodic validations of backup completions using system copies in non-production environments.</t>
  </si>
  <si>
    <t>DO.4.1</t>
  </si>
  <si>
    <t>DO.C.4.1</t>
  </si>
  <si>
    <t>The Business Continuity Plan (BCP) and Processes.</t>
  </si>
  <si>
    <t xml:space="preserve">The Entity must attach the processes and Business Continuity Plan (BCP), which include at a minimum, the following:
• Risk assessment and business impact analysis.
• Functional roles and responsibilities.
• Alternative work locations.
• The infrastructure.
• Incident management.
•  The communication mechanisms of the continuity 
procedures to notify the relevant stakeholders, e.g.: 
Employees and customers
•  Periodic training courses with scenario-based trial simulations to evaluate the response and identify areas for improvement. </t>
  </si>
  <si>
    <t>DO.M.15</t>
  </si>
  <si>
    <t>The Disaster Recovery (DR) Plan and the Processes.</t>
  </si>
  <si>
    <t>The Entity must attach 
• Disaster Recovery (DR) Processes and Plan including, as a minimum:
• A prioritized list of information systems defining their recovery order.
• Assigning the roles responsible for addressing / handling incident cases and responding.
• Defining and specifying the procedural actions to be taken to activate a response to each incident through the system.
• Defining and specifying the procedural actions to be taken to reduce the damage and mitigate the incident consequences on the Entity's critical operations. 
• Definition &amp; identification of Recovery Point Objectives (RPO) (A maximum targeted period within which Data might be lost without causing damage to the business) for each information system covered in the plan. 
• Definition of Recovery Time Objectives (RTO) (A maximum targeted duration of time within which the Database can be down without causing damage to the business) for each information system covered in the plan.
 • Definition of Recovery activities.
 • Periodic training courses with scenario-based trial simulations to evaluate the response and identify areas for improvement.</t>
  </si>
  <si>
    <t>DO.4.2</t>
  </si>
  <si>
    <t>DO.C.4.2</t>
  </si>
  <si>
    <t>A Document of Actions Required to Implement Database Changes and Rollbacks.</t>
  </si>
  <si>
    <t>The Entity must attach a document explaining the definitions of the measures and the procedural action steps to be taken to implement the changes on each Database or to rollback / undo the changes as &amp; when needed.</t>
  </si>
  <si>
    <t>DO.M.16</t>
  </si>
  <si>
    <t>The Technical Design Document.</t>
  </si>
  <si>
    <t>The Entity must attach the Technical Design document including the following, as a minimum:
• Accurate information about the technical infrastructure of the main location and the Disaster Recovery (DR) location.
• The processes and procedures which are required for Data recovery.
• System architecture, including hardware, software, and network structure.
• Roles and responsibilities of the technical team responsible for DR.
• Testing and maintenance procedures of the DR processes.</t>
  </si>
  <si>
    <t>DO.M.17</t>
  </si>
  <si>
    <t>The BCP Run Report.</t>
  </si>
  <si>
    <t>The entity must attach a post-implementation output report of the Business Continuity Plan, detailing the results, recommendations, etc., ensuring the continuous availability of critical business functions during disruptive events. It must include, at a minimum, the following:
• The implementation status of the BCP, practices and processes.</t>
  </si>
  <si>
    <t>DO.M.18</t>
  </si>
  <si>
    <t>The DR Run Report.</t>
  </si>
  <si>
    <t xml:space="preserve"> The entity must attach the DR Plan Run Report, i.e., the output doc after BCP execution, explaining the results, recommendations, etc. which ensure the continuous availability of critical business functions during adverse/damaging incidents. The following must be included, at a minimum:
• The implementation status of the DR Plan, practices and processes.</t>
  </si>
  <si>
    <t>DO.M.19</t>
  </si>
  <si>
    <t xml:space="preserve"> The Change Request form for Data 
Change in the Production 
Environment.</t>
  </si>
  <si>
    <t>The entity must attach the approved Change Request form/template used 
for requesting a data change in the production environment. Including the 
following, at a minimum: 
 Change requestor details.
 Description of the requested change.
 Reason for the change.
 Impact of the change on (the current system, daily operations, 
end-user).
 Implementation steps.
 Backup plan.
 Testing period (the period for testing the change before final 
approval).
 Rollback plan.
 Approval from the entity’s authority holder.</t>
  </si>
  <si>
    <t>DO.M.20</t>
  </si>
  <si>
    <t>The Production Data Access Control Document.</t>
  </si>
  <si>
    <t>The Entity must attach the Access Control document of Data in the Production Environments (based on the authorizations matrix and the roles), including the following, as a minimum:
• The change requests initiating the process.
• Definition and identification of procedural actions to be taken for a controlled implementation of changes in the Databases.
• Definition and identification of procedural actions to be taken for rollback / reversing the changes in cases of identified issues.</t>
  </si>
  <si>
    <t>DO.4.3</t>
  </si>
  <si>
    <t>DO.C.4.3</t>
  </si>
  <si>
    <t>The Monitoring Report with Pre-defined KPIs for the Business Continuity (BCP) and Disaster Recovery (DR).</t>
  </si>
  <si>
    <t xml:space="preserve"> The entity must attach an updated report approved by the entity’s authority holder on monitoring the effectiveness of the Business Continuity Plan (BCP) and Disaster Recovery (DR) based on pre-defined and identified KPIs and indicator 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</si>
  <si>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DO.M.21</t>
  </si>
  <si>
    <t>The Continuous Improvement Report on the Business Continuity Plan (BCP).</t>
  </si>
  <si>
    <t xml:space="preserve"> The entity must attach the continuous improvement report for BCP based on the results of the KPI measurements and relevant updates and developments in the domain, including the following implemented improvements, at a minimum:
• BCP.
• Processes for adjusting permissions and access to production environments.
• The processes for Data backup and recovery.
• The Disaster Recovery Plan (DR plan).
The continuous improvement report must include, at a minimum, the following:
• Review and Results Documentation: Documentation of periodic reviews and results for data operations and storage processes.
• Continuous Improvement Mechanisms: Mechanisms for the continuous improvement of data operations and storage processes.</t>
  </si>
  <si>
    <t>DO.M.22</t>
  </si>
  <si>
    <t>Data Catalog and Metadata</t>
  </si>
  <si>
    <t>MCM</t>
  </si>
  <si>
    <t>MCM.MQ.1</t>
  </si>
  <si>
    <t>The Recorded or Documented Metadata Report.</t>
  </si>
  <si>
    <t>The Entity must attach a report on the Metadata recorded or documented as part of any project’s implementation, or in standalone applications.</t>
  </si>
  <si>
    <t>MCM.M.1</t>
  </si>
  <si>
    <t>The Approved Metadata and Data Catalog Plan.</t>
  </si>
  <si>
    <t>The Entity must attach the approved MCM tool / solution implementation plan including the following, as a minimum:
• A roadmap that includes the projects and milestones of the technological tool / solution implementation for the Data Catalog. The activities shall incorporate what is needed to achieve this Domain’s specifications, as a minimum.
• The assignment of the required resources &amp; budget allocation to manage the implementation of the Data Catalog Automation tool.</t>
  </si>
  <si>
    <t>MCM.1.1</t>
  </si>
  <si>
    <t>MCM.C.1.1</t>
  </si>
  <si>
    <t xml:space="preserve"> The Approved Metadata 
Structure.</t>
  </si>
  <si>
    <t xml:space="preserve">The Entity must attach an updated and approved report illustrating the approved Metadata architecture and Metadata framework. The report must include the following, as a minimum:
• The Business Metadata fields to be filled in the Data Catalog.
• The additional fields based on the Entity’s requirements and any other regulatory requirements must be documented in the Data Catalog. </t>
  </si>
  <si>
    <t>MCM.4.3</t>
  </si>
  <si>
    <t>MCM.C.4.3</t>
  </si>
  <si>
    <t>The Metadata and Data Catalog Plan Implementation Status Report.</t>
  </si>
  <si>
    <t>The entity must attach an updated and approved report clarifying the MCM Plan
implementation status and roadmap which include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</si>
  <si>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MCM.M.2</t>
  </si>
  <si>
    <t>The Approved Metadata 
Structure Implementation 
Report</t>
  </si>
  <si>
    <t>The Entity must attach an updated and approved report clarifying the Metadata Management Framework implementation status.</t>
  </si>
  <si>
    <t>MCM.M.3</t>
  </si>
  <si>
    <t>The Monitoring Report with Pre-defined Key Performance Indicators (KPIs) for the Metadata and Data Catalog Plan and Activities.</t>
  </si>
  <si>
    <t>The Entity must attach an updated and approved monitoring report on the MCM Plan and activities, prepared based on Predefined KPIs (Indicator Cards). e.g.: The indicators may include measuring the achievement percentages of the plan implementation requirements.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</si>
  <si>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MCM.M.4</t>
  </si>
  <si>
    <t>The Continuous Improvement Report on the Metadata and Data Catalog Plan.</t>
  </si>
  <si>
    <t xml:space="preserve"> The entity must attach the updated continuous improvement report, approved by the entity’s 
authority holder demonstrating the continuous improvement of the metadata integration and 
management plan across the entity, and based on the results of KPI measurements and 
relevant updates and developments in the domain. The report should include the following, 
at a minimum:
 Conducted Reviews.
 Results of each review.
 Implemented improvements (with supporting documents).</t>
  </si>
  <si>
    <t>MCM.M.5</t>
  </si>
  <si>
    <t>MCM.MQ.2</t>
  </si>
  <si>
    <t xml:space="preserve"> Evidences of Current 
Existing Metadata.</t>
  </si>
  <si>
    <t>The Entity must attach a report proving the existence of the identified Metadata within standalone applications or for a specific project.</t>
  </si>
  <si>
    <t>MCM.M.6</t>
  </si>
  <si>
    <t>The Selected Data Catalog Tool.</t>
  </si>
  <si>
    <t>The Entity must attach an approved report clarifying the technology / tool chosen for the Data Catalog (The information includes: The Vendor, version, and specifications).</t>
  </si>
  <si>
    <t>MCM.M.7</t>
  </si>
  <si>
    <t>The Approved and Prioritized Data Sources Report.</t>
  </si>
  <si>
    <t>The Entity must attach an approved report that includes the following, as a minimum:
• The Data Catalog Sources where each Source has an approved priority.
• The definitions of the Entity’s business Metadata and the technical Metadata.</t>
  </si>
  <si>
    <t>MCM.1.2</t>
  </si>
  <si>
    <t>MCM.C.1.2</t>
  </si>
  <si>
    <t>The Developed and Approved Target Metadata Architecture.</t>
  </si>
  <si>
    <t>The Entity must attach an approved report clarifying the developed and approved target Metadata architecture including (but not limited to), the following:
• Metadata Sources -the Entity's Data Sources that are sources of Metadata used in the Data Catalog.
• Metadata Repository - the Data Catalog as the Entity's central Metadata Repository.
• Metadata Flows - A definition of Metadata Flow between the Metadata Sources and the Metadata Repository.
• Metadata Model -  A Metadata Model used by the Entity's Data Catalog.</t>
  </si>
  <si>
    <t>MCM.1.3</t>
  </si>
  <si>
    <t>MCM.C.1.3</t>
  </si>
  <si>
    <t>The Data Catalog Tool Implementation Requirements Report.</t>
  </si>
  <si>
    <t>The Entity must attach an approved report clarifying the Data Catalog tool implementation requirements, including the following, as a minimum:
• The procurement approval for a tool to automate the Data Catalog.
• The approved plan to implement the Data Catalog automation tool.</t>
  </si>
  <si>
    <t>MCM.M.8</t>
  </si>
  <si>
    <t>The Approved and Developed Data Catalog Training Plan.</t>
  </si>
  <si>
    <t xml:space="preserve">
The entity must attach the recent and developed training and awareness plan approved by the 
entity’s authority holder regarding the Data Catalog usages, including the following, at a 
minimum:
• The training and awareness plan’s approval and validity / expiry dates.
• The training and awareness programs plan implementation dates.
• The scope of the training and awareness.
• The objectives of the training and awareness.
• The training shall include the following:
◦ An overview of the Data Catalog concept and benefits.
◦ Introductory and advanced lessons on the Automated Data Catalog Tool and its functionalities.
◦ Practical (Hands on) exercises based on use cases on the automated Data Catalog tool.
◦ The training and awareness target audiences.
◦ The topics of the training programs and awareness campaigns.
◦ The methods and channels through which the Training plan will be conducted.
◦ Identifying the MCM Domain Awareness campaign channels, which include:
◦ E mails or mobile phone messages.
◦ Publications.
◦ Lectures or workshops.</t>
  </si>
  <si>
    <t>MCM.M.9</t>
  </si>
  <si>
    <t>Evidence of the Implemented Data Catalog Tool.</t>
  </si>
  <si>
    <t>The Entity must attach a report on the Data Catalog tool proving the tool is implemented in the Entity.</t>
  </si>
  <si>
    <t>MCM.5.1</t>
  </si>
  <si>
    <t>MCM.C.5.1</t>
  </si>
  <si>
    <t>Data Access Approval Process Documentation (Authorization to Connect the Data Catalog with the Data Sources).</t>
  </si>
  <si>
    <t>The Entity must attach an approved report about the documentation of the approval process for granting authorization access to the Entity’s Data by connecting the Data Catalog tool to the Entity's Data Sources.</t>
  </si>
  <si>
    <t>MCM.2.1</t>
  </si>
  <si>
    <t>MCM.C.2.1</t>
  </si>
  <si>
    <t>Metadata Access Approval Process Documentation.</t>
  </si>
  <si>
    <t>The Entity must attach an approved report about the documentation of the approval process for granting scope-based authorization access to the Metadata, including the following, as a minimum:
• The name of the system / tool and version number.
• A description of the access granting and approval process.
• A sample of role-based access groups.</t>
  </si>
  <si>
    <t>MCM.2.2</t>
  </si>
  <si>
    <t>MCM.C.2.2</t>
  </si>
  <si>
    <t>Evidences of Data Catalog Adoption and Usage Including Metadata Populated on the Tool.</t>
  </si>
  <si>
    <t>The Entity must attach a report proving the adoption and usage of the Data Catalog, with evidence for populating Metadata in the tool, including the following, as a minimum:
• The identified Data Catalog power users – The Entity's Data Catalog advanced users who can act as coaches for other users.
• The Communication plan between the current Data Catalog power users and the other Data Catalog users to activate the Data Catalog usage. The plan must include (but not limited to) the following:
• A description of the communication procedure actions &amp; processes.
• The required frequency of the communication processes.
• The target audience.</t>
  </si>
  <si>
    <t>MCM.3.2</t>
  </si>
  <si>
    <t>MCM.C.3.2</t>
  </si>
  <si>
    <t>The Regular Audits Report on the Data Catalog Usage.</t>
  </si>
  <si>
    <t>The Entity must attach the periodic audits report on the Data Catalog usage, including the following, as a minimum:
• An audit sample of information about the Data Catalog users.
• An audit sample of processes / operations performed by the users.
• An audit sample of the Data Catalog activity memory and separately maintained logs of the tracking functionality / audit-trail.</t>
  </si>
  <si>
    <t>MCM.5.3</t>
  </si>
  <si>
    <t>MCM.C.5.3</t>
  </si>
  <si>
    <t>Evidence of Training Conducted for the Identified Data Catalog Users.</t>
  </si>
  <si>
    <t>The Entity must attach a report proving the implementation of the training &amp; awareness programs conducted for the identified Data Catalog users on the plan. The report must include the following, as a minimum:
• The list of conducted training programs and awareness campaigns (Including the topics of the programs, the dates when they were conducted, and the names of the training attendants).
• Samples of the activities performed by the Entity to raise awareness about the MCM Domain, including:
• E mails or mobile phone messages.
• Publications.
• Lectures or workshops.
• A sample attendance certificate of training the Entity’s employees.</t>
  </si>
  <si>
    <t>MCM.3.1</t>
  </si>
  <si>
    <t>MCM.C.3.1</t>
  </si>
  <si>
    <t>Tool Versioning Report.</t>
  </si>
  <si>
    <t>The Entity must attach a Tool Versioning report including the following, as a minimum:
• The name of the developer of the current tool used by the Entity.
• The number of the current version used by the Entity.
• The current version’s release date within the Entity.
• The number and date of the latest tool version published by the developer.
• The Methodology of the Version Management Strategy (Releasing versions of technological solutions and tools for the Data Catalog) followed in cases where there are issues that prevent upgrading the current version to the latest version.</t>
  </si>
  <si>
    <t>MCM.5.4</t>
  </si>
  <si>
    <t>MCM.C.5.4</t>
  </si>
  <si>
    <t>The Monitoring Report with Pre-defined KPIs for the Adoption and Usage of the Metadata &amp; Data Catalog Solution / Tool.</t>
  </si>
  <si>
    <t xml:space="preserve"> The entity must attach an updated report approved by the entity’s authority holder on
measuring the effectiveness of the Metadata solution implementation and the Data Catalog
usage based on pre-defined and identified KPIs and indicator cards, which cover:
• The number of registered Data Catalog users.
• The number of active Data Catalog users.
• The number of logins to the Data Catalog.
• The number of performed Metadata queries.
• The number of annotations (tags, comments) added to the Data assets.
• The number of ratings added to data assets.
• The number of trust certificates assigned to the Metadata.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</si>
  <si>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MCM.6.1</t>
  </si>
  <si>
    <t>MCM.C.6.1</t>
  </si>
  <si>
    <t>The Approved List of Predefined KPIs for the Quality of the Metadata which is Populated on the Data Catalog Tool.</t>
  </si>
  <si>
    <t>The Entity must attach a list of approved KPIs (Indicator Cards) Pre-defined to monitor the Metadata Quality, including the following, as a minimum:
• Completeness. 
• Accuracy. 
• Consistency.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</si>
  <si>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MCM.M.10</t>
  </si>
  <si>
    <t>The Continuous Improvement Report on the Metadata and Data Catalog Tool's quality.</t>
  </si>
  <si>
    <t>The Entity must attach an updated &amp; approved report presenting continuous improvement on the MCM tool, including the following, as a minimum:
• The documents of the periodic reviews &amp; documented results.
• The continuous improvement mechanisms and implemented enhancements (with supporting documents). 
• The resources assigned for implementing the continuous improvement plan.</t>
  </si>
  <si>
    <t>MCM.M.11</t>
  </si>
  <si>
    <t>The Metadata Management Automation Report.</t>
  </si>
  <si>
    <t>The Entity must attach an updated and approved report proving the full automation of end to end Metadata Management using a fully implemented Data Catalog tool, e.g.: Automating Metadata collection and exchange (Evidence such as reports, screenshots, etc.…).</t>
  </si>
  <si>
    <t>MCM.M.12</t>
  </si>
  <si>
    <t>MCM.MQ.3</t>
  </si>
  <si>
    <t>Evidence of the Existing Processes Used to Manage Metadata.</t>
  </si>
  <si>
    <t>The Entity must attach a document of the current Processes followed for Metadata Management (Evidence such as reports, screenshots, etc.…).</t>
  </si>
  <si>
    <t>MCM.M.13</t>
  </si>
  <si>
    <t>Metadata Identification Process Report.</t>
  </si>
  <si>
    <t>The Entity must attach a report showing the entity’s process for identifying and defining its business and technical metadata that will be included in the data catalog.</t>
  </si>
  <si>
    <t>MCM.M.14</t>
  </si>
  <si>
    <t>Metadata Prioritization Process Report.</t>
  </si>
  <si>
    <t>The Entity must attach a report showing the entity’s process for prioritizing the identified metadata.</t>
  </si>
  <si>
    <t>MCM.M.15</t>
  </si>
  <si>
    <t>Metadata Population Process Report.</t>
  </si>
  <si>
    <t>The Entity must attach a report showing the process for registering and populating the Metadata within the Data Catalog so that the process is implemented as a workflow within the automated data catalog tool.</t>
  </si>
  <si>
    <t>MCM.4.2</t>
  </si>
  <si>
    <t>MCM.C.4.2</t>
  </si>
  <si>
    <t>Metadata Update process Report.</t>
  </si>
  <si>
    <t>The Entity must attach a report showing the process for updating metadata in its data catalog so that the process is implemented as a workflow within the automated data catalog tool.</t>
  </si>
  <si>
    <t>MCM.4.4</t>
  </si>
  <si>
    <t>MCM.C.4.4</t>
  </si>
  <si>
    <t>Metadata Quality process Report.</t>
  </si>
  <si>
    <t xml:space="preserve"> The entity must attach a report showing the process for identifying and resolving quality 
issues with the Metadata. This Metadata Management process should include a 
mechanism for reporting identified data quality issues and development of remediation 
actions within defined SLAs so that the process is implemented as a workflow plan within 
the automated Data Catalog tool. </t>
  </si>
  <si>
    <t>MCM.4.5</t>
  </si>
  <si>
    <t>MCM.C.4.5</t>
  </si>
  <si>
    <t>Metadata Annotation process Report.</t>
  </si>
  <si>
    <t>The Entity must attach a report showing the process for regularly reviewing the metadata annotations (tags, comments) made by users to the Metadata within the Data Catalog so that the process is implemented as a workflow within the automated data catalog tool.</t>
  </si>
  <si>
    <t>MCM.4.6</t>
  </si>
  <si>
    <t>MCM.C.4.6</t>
  </si>
  <si>
    <t>Metadata Certification process Report.</t>
  </si>
  <si>
    <t>The Entity must attach a report showing the process for regularly reviewing the trust certificates assigned by users to the Metadata within the Data Catalog so that the process is implemented as a workflow within the automated data catalog tool.</t>
  </si>
  <si>
    <t>MCM.4.7</t>
  </si>
  <si>
    <t>MCM.C.4.7</t>
  </si>
  <si>
    <t>Evidence of the Implementation and Adoption of the Approved Processes as Workflows in the Entity's Data Catalog.</t>
  </si>
  <si>
    <t>The Entity must attach an approved report proving the implementation and adoption of the approved processes, including each process’s workflow chart. The processes must include the following, at a minimum:
• Metadata Identification Process.
• Metadata Prioritization Process.
• Metadata Population Process.
• Metadata Updating process.
• Metadata Quality Process.
• Metadata Annotation Process.
• Metadata Certification Process.
- The entity must attach an updated and approved report detailing the business metadata registered in its metadata repository.
- The entity must attach an updated and approved report detailing the technical metadata registered in its metadata repository.</t>
  </si>
  <si>
    <t>MCM.M.16</t>
  </si>
  <si>
    <t>The Logs or the List of Notifications on the Metadata Changes.</t>
  </si>
  <si>
    <t>The Entity must attach a report that includes the logs, or a list of alerts caused by Metadata changes.</t>
  </si>
  <si>
    <t>MCM.5.2</t>
  </si>
  <si>
    <t>MCM.C.5.2</t>
  </si>
  <si>
    <t>Evidences of Communications to the Data Catalog Users of any Metadata Update.</t>
  </si>
  <si>
    <t>The Entity must attach the implementation report of contacting the Data Catalog users (e.g.: emails) when any Metadata is updated.</t>
  </si>
  <si>
    <t>MCM.M.17</t>
  </si>
  <si>
    <t>The Metadata Stewardship Coverage Model.</t>
  </si>
  <si>
    <t>The Entity must attach a report clarifying the Metadata Stewardship Coverage Model.</t>
  </si>
  <si>
    <t>MCM.4.1</t>
  </si>
  <si>
    <t>MCM.C.4.1</t>
  </si>
  <si>
    <t>The Metadata Processes Monitoring Report with Pre-defined KPIs.</t>
  </si>
  <si>
    <t>The entity must attach an updated report, approved by the entity’s authority holder on 
monitoring the effectiveness of metadata processes implementation based on pre-defined
and indicated KPIs and Indicator 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</si>
  <si>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MCM.M.18</t>
  </si>
  <si>
    <t>The Metadata Quality Monitoring Report with Pre-defined KPIs.</t>
  </si>
  <si>
    <t xml:space="preserve"> The entity must attach an updated report approved by the entity’s authority holder on 
monitoring the metadata quality based on pre-defined KPIs (Indicator Cards) including the 
following, at a minimum:
•Completeness (the degree of completeness of business glossaries and data dictionaries).
•Accuracy (the extent to which definitions and descriptions align with the business context).
•Consistency (the extent to which metadata definitions are consistent across all departments of the entity)."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</si>
  <si>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MCM.6.2</t>
  </si>
  <si>
    <t>MCM.C.6.2</t>
  </si>
  <si>
    <t>The Continuous Improvement Report on the Metadata Management Practices.</t>
  </si>
  <si>
    <t xml:space="preserve"> The entity must attach an updated &amp; approved report presenting continuous improvement 
of metadata management practices based on the results of the KPI measurements and 
relevant updates and developments in the domain including the following, at a minimum:
 The documents of the periodic reviews &amp; documented results of the 
Metadata Management Practices.
 The continuous improvement mechanisms of the metadata management 
practices and implemented improvements (with supporting documents).</t>
  </si>
  <si>
    <t>MCM.M.19</t>
  </si>
  <si>
    <t>Reference and Master Data Management</t>
  </si>
  <si>
    <t>RMD</t>
  </si>
  <si>
    <t>RMD.MQ.1</t>
  </si>
  <si>
    <t xml:space="preserve"> The Currently Existing 
Practices Related to the 
RMD Management and 
Planning Domain.</t>
  </si>
  <si>
    <t>A report must be attached clarifying the current practices related to Reference Data management and/or Master Data management.</t>
  </si>
  <si>
    <t>RMD.M.1</t>
  </si>
  <si>
    <t>The Developed and Approved RMD Management Plan.</t>
  </si>
  <si>
    <t>A recent RMD Management Plan, approved by the entity’s authority holder must be attached including the following, at a minimum:
• A roadmap that includes the activities and milestones for the Entity’s RMD Management. The activities shall incorporate what is needed to achieve this Domain’s specifications, as a minimum.
• The assignment of the required resources &amp; budget allocation to manage the implementation of the roadmap activities.</t>
  </si>
  <si>
    <t>RMD.1.1</t>
  </si>
  <si>
    <t>RMD.C.1.1</t>
  </si>
  <si>
    <t>The RMD Management Plan Implementation Status Report.</t>
  </si>
  <si>
    <t xml:space="preserve">
A report must be attached clarifying the implementation status and roadmap of the RMD Management Plan including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</si>
  <si>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RMD.M.2</t>
  </si>
  <si>
    <t>The RMD Management Training Implementation Status Report.</t>
  </si>
  <si>
    <t>A report must be attached clarifying the implementation status including the following, as a minimum:
• Attach samples of the activities performed by the Entity to raise awareness in the RMD Management Domain (Awareness messages, publications, lectures or workshops).
• Attach a sample attendance certificate of training the Entity’s employees in the RMD Management Domain.</t>
  </si>
  <si>
    <t>RMD.3.1</t>
  </si>
  <si>
    <t>RMD.C.3.1</t>
  </si>
  <si>
    <t>The RMD Management Operating Model Showing the RMD Stewardship Coverage.</t>
  </si>
  <si>
    <t xml:space="preserve">
A document must be attached confirming that the entity has designated Business Data Stewards and IT Data Stewards to manage each defined set of RMD.</t>
  </si>
  <si>
    <t>RMD.4.1</t>
  </si>
  <si>
    <t>RMD.C.4.1</t>
  </si>
  <si>
    <t>The RMD Change Request Logs.</t>
  </si>
  <si>
    <t>A consolidated log must be attached containing the following, as a minimum:
• The RMD change requests.
• The decisions made on the RMD change requests.</t>
  </si>
  <si>
    <t>RMD.6.1</t>
  </si>
  <si>
    <t>RMD.C.6.1</t>
  </si>
  <si>
    <t>The RMD Management Documents &amp; Artifacts.</t>
  </si>
  <si>
    <t xml:space="preserve">
The planning documents &amp; supporting artifacts of the RMD Management initiatives must 
be attached including the following, at a minimum:
 The register of the Architecture status of all RMD initiatives (e.g., The 
Statement of Architecture Work (Scope) document).</t>
  </si>
  <si>
    <t>RMD.6.2</t>
  </si>
  <si>
    <t>RMD.C.6.2</t>
  </si>
  <si>
    <t xml:space="preserve"> The Monitoring Report of the RMD Management Plan Implementation with Predefined KPIs.</t>
  </si>
  <si>
    <t>The entity must attach an updated and approved report by the responsible authority to monitor the effectiveness of the Reference and Master Data Management Process, based on predefined and identified Key Performance Indicators (KPIs) and scorecards.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</si>
  <si>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RMD.M.3</t>
  </si>
  <si>
    <t>The Continuous Improvement Report of the RMD Management Plan.</t>
  </si>
  <si>
    <t xml:space="preserve"> The entity must attach an updated report, approved by the entity’s authority holder
presenting continuous improvement of the RMD Management Plan based on the results 
of the KPI measurements and relevant updates and developments in the domain 
containing the following, at a minimum:
 Reviews conducted.
 Results of each review.
 Improvements implemented (with supporting documents).</t>
  </si>
  <si>
    <t>RMD.M.4</t>
  </si>
  <si>
    <t>RMD.MQ.2</t>
  </si>
  <si>
    <t>Evidence of Projects / Initiatives with Reference Data and/or Master Data Identified.</t>
  </si>
  <si>
    <t>An evidence must be attached proving the implementation of any existing project or current initiative that involves identified Reference Data and/or Master Data Objects.</t>
  </si>
  <si>
    <t>RMD.M.5</t>
  </si>
  <si>
    <t>The Identified, Prioritized and Categorized RMD Objects.</t>
  </si>
  <si>
    <t>Documents must be attached clarifying that the Entity identified, prioritized &amp; categorized the RMD including the following, as a minimum:
• Identifying &amp; Prioritizing the RMD:
◦ The identified Master Data objects (internal &amp; external).
◦ The identified Reference Data objects (internal &amp; external).
◦ The identified Data sources and applications that generate, read, update, and delete RMD Objects.
◦ The logically grouped &amp; prioritized RMD Objects.</t>
  </si>
  <si>
    <t>RMD.1.2</t>
  </si>
  <si>
    <t>RMD.C.1.2</t>
  </si>
  <si>
    <t>Reference Data Categorization.</t>
  </si>
  <si>
    <t>Attach documents showing that the entity has categorized the reference data. These documents include, as a minimum, the following:
• Internal Reference Data.
• External Reference Data.</t>
  </si>
  <si>
    <t>RMD.1.3</t>
  </si>
  <si>
    <t>RMD.C.1.3</t>
  </si>
  <si>
    <t>Master Data Categorization.</t>
  </si>
  <si>
    <t>Attach documents showing that the entity has categorized the reference data. These documents include, as a minimum, the following:
• Internal Master Data.
• External Master Data.</t>
  </si>
  <si>
    <t>RMD.1.4</t>
  </si>
  <si>
    <t>RMD.C.1.4</t>
  </si>
  <si>
    <t>The Reference &amp; Master Data Requirements.</t>
  </si>
  <si>
    <t>Evidence documents must be attached clarifying that the Entity collected the RMD requirements including the following, as a minimum:
• RMD Management roles across the Data lifecycle from creation to archiving.
• Rules for accurate matching and merging of the Master Data Records from different Data sources to create Golden Records.
• Requirements for provisioning Master Data Golden Records to consuming applications.
• Requirements for provisioning Reference Data Objects to consuming applications.
• Data Quality (DQ) requirements for RMD Objects to be leveraged as input for the Initial Data Quality Assessment detailed in the Data Quality (DQ) Domain.</t>
  </si>
  <si>
    <t>RMD.2.1</t>
  </si>
  <si>
    <t>RMD.C.2.1</t>
  </si>
  <si>
    <t>The Defined SLAs for RMD Lifecycle Management.</t>
  </si>
  <si>
    <t>A document should be attached clarifying the RMD lifecycle management process SLAs including, as a minimum:
• The RMD request implementation time frame.
• The escalation procedures to be done upon SLA violation.</t>
  </si>
  <si>
    <t>RMD.5.1</t>
  </si>
  <si>
    <t>RMD.C.5.1</t>
  </si>
  <si>
    <t>The RMD Lifecycle Management Process</t>
  </si>
  <si>
    <t>A document must be attached clarifying a process for managing RMD Objects across the Data Lifecycle from creation to archival / disposal. The process must cover roles and procedural actions involved in the following Data Lifecycle steps, as a minimum:
• Creating new RMD Objects &amp; Instances.
• Modifying existing RMD Objects &amp; Instances.
• Archiving RMD Objects &amp; Instances.</t>
  </si>
  <si>
    <t>RMD.4.2</t>
  </si>
  <si>
    <t>RMD.C.4.2</t>
  </si>
  <si>
    <t xml:space="preserve"> Evidence of the Entity’s 
Participation in or Use of 
National Reference 
Datasets.</t>
  </si>
  <si>
    <t xml:space="preserve"> The entity must attach a sample of evidence demonstrating its participation in or 
utilization of the National Reference Datasets. The samples must include the following 
at a minimum:
• A screenshot of the entity's reference datasets shared on the National 
Reference Data Platform.
• A screenshot of the reference datasets utilized by the entity through the 
National Reference Data Platform.
• A screenshot demonstrating the processes conducted to upload the entity's 
reference data to the National Reference Data Platform.</t>
  </si>
  <si>
    <t>RMD.M.6</t>
  </si>
  <si>
    <t>The Monitoring Report of the RMD Management Processes with Predefined KPIs &amp; SLAs.</t>
  </si>
  <si>
    <t>The entity must attach an updated and authorized report by the responsible authority to monitor the effectiveness of reference and master data management processes based on predefined and defined Key Performance Indicators (KPIs) and scorecards. These should cover:
• The number of incorrect data values in master data records.
• The Mean Time to Repair (MTTR) issues related to the quality of reference and master data.
• The volume of change requests submitted to modify reference and master data sets/objects.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</si>
  <si>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RMD.5.2</t>
  </si>
  <si>
    <t>RMD.C.5.2</t>
  </si>
  <si>
    <t>The Continuous Improvement Report of the RMD Management Processes &amp; Standards.</t>
  </si>
  <si>
    <t>The entity must attach a continuous improvement report for reference and master data management processes based on the results of performance indicator measurements, as well as relevant updates and developments in the field. The report must include, at a minimum, the following:
• Evidence of the automation of reference and master data management processes.
• Review and Results Documentation: Periodic review and results documentation for reference and master data management processes.
• Continuous Improvement Mechanisms: Mechanisms for the continuous improvement of reference and master data management processes.</t>
  </si>
  <si>
    <t>RMD.M.7</t>
  </si>
  <si>
    <t>RMD.MQ.3</t>
  </si>
  <si>
    <t xml:space="preserve"> Evidence That the Entity 
Manages Its RMD Within Independent Data Sources and Without Unified Tools.</t>
  </si>
  <si>
    <t>The entity must provide proof of managing reference and/or master data within databases used for the purposes of an ongoing specific project.</t>
  </si>
  <si>
    <t>RMD.M.8</t>
  </si>
  <si>
    <t>The Target RMD Management Architecture Design.</t>
  </si>
  <si>
    <t>A document must be attached illustrating that the Entity designed a RMD Hub to efficiently manage the RMD Objects including, as a minimum:
• Identifying a Data Hub architecture implementation pattern to manage the Master Data Objects.
• The design considers supporting centralized management of Reference Data. The Hub is the single source of Reference Data, with creation and modification operations performed exclusively within the Hub. All critical consumer applications must use the Hub as the reference data source</t>
  </si>
  <si>
    <t>RMD.2.2</t>
  </si>
  <si>
    <t>RMD.C.2.2</t>
  </si>
  <si>
    <t>The Developed RMD Conceptual Architecture.</t>
  </si>
  <si>
    <t>The target RMD environment Conceptual Architecture must be attached as per the Entity's selected Data Hub architecture design; indicating foundational building block components and high-level capabilities associated with the components. The conceptual RMD architecture must consist of the following, as a minimum:
• Architecture Description – A description of the overall architecture concept defined.
• Components Definitions and Descriptions – Building blocks (The Data Hub, Data sources, consuming applications, etc.) of the RMD Conceptual Architecture with descriptions of their purposes.
• The General Conceptual Architecture Diagram – A high-level view of how components work together to address the Entity's RMD requirements.</t>
  </si>
  <si>
    <t>RMD.2.3</t>
  </si>
  <si>
    <t>RMD.C.2.3</t>
  </si>
  <si>
    <t>The Developed RMD Information Architecture.</t>
  </si>
  <si>
    <t>A document must be attached clarifying an Information Architecture for the target RMD 
environment based on the defined Conceptual Architecture. The Information Architecture 
must represent the following components, at a minimum:
 RMD Objects – An inventory of the identified RMD Objects including 
Metadata definitions.
 Conceptual &amp; Logical Master Data Model – A conceptual &amp; logical 
Data model for the identified Master Data Objects and their 
relationships.
 RMD Sources – An inventory of the identified RMD sources.
 Rules for Matching &amp; Merging Master Data Records from different 
data sources to create Golden Records.
- RMD Flows - One-way or two-way movement for:
 Master data records between data sources and the data hub.
 Golden records of master data between the data hub and critical consuming applications
 Reference data between the data hub and critical consuming 
applications.</t>
  </si>
  <si>
    <t>RMD.2.4</t>
  </si>
  <si>
    <t>RMD.C.2.4</t>
  </si>
  <si>
    <t>The RMD Hub / Tool Technical Requirements.</t>
  </si>
  <si>
    <t>A document must be attached defining, identifying &amp; documenting the technical 
requirements for the RMD Hub platform based on the defined target RMD Information 
Architecture. The requirements must cover the following areas, at a minimum:
 Management of Workflows:
 Creating &amp; modifying RMD Records.
 Assigning Master Data Management (MDM) Stewardship.
 Versioning Control - Tracking changes in RMD Records over time.
 Functional Capabilities – Detailing the functional capabilities required 
from the Hub (e.g.: Import, export, data mappings, automation of 
operational tasks around collection, cleansing, etc.).
 Technical Capabilities - Detailing the technical capabilities required 
from the Hub (e.g., API Integration with upstream &amp; downstream 
applications and systems).
 Security - Supporting secure data exchange between the Hub and 
the connected applications / data sources.</t>
  </si>
  <si>
    <t>RMD.2.5</t>
  </si>
  <si>
    <t>RMD.C.2.5</t>
  </si>
  <si>
    <t>The Implemented RMD Management Hub.</t>
  </si>
  <si>
    <t>A document must be attached providing evidence that the Entity implemented an integrated Hub for managing its RMD Objects to be considered as the trusted source of RMD across the entire Entity. The document must provide evidences for the following performed tasks, as a minimum:
• The instantiated physical Data Hub Technical Architecture components necessary to address the Entity's target RMD Information Architecture requirements.
• The established Master Data Model as defined by the RMD Information Architecture within the Data Hub.
• The loaded RMD Objects into the Data Hub.
• The necessary replication activated between Master Data Source systems and the Data Hub.
• Synchronization activated between the Data Hub and the consuming applications.</t>
  </si>
  <si>
    <t>RMD.4.3</t>
  </si>
  <si>
    <t>RMD.C.4.3</t>
  </si>
  <si>
    <t>The Workflow Documentation Showing the Establishment of the Data Hub as the Entity's Trusted Source.</t>
  </si>
  <si>
    <t>An evidence must be attached proving that the Data Hub is considered a reliable source for each information system or new application that requires the use of special RMD Objects (for each program).</t>
  </si>
  <si>
    <t>RMD.4.4</t>
  </si>
  <si>
    <t>RMD.C.4.4</t>
  </si>
  <si>
    <t>The Monitoring Report of the RMD Management Hub / Tool Capabilities with Predefined Key Performance Indicators (KPIs).</t>
  </si>
  <si>
    <t>The entity must attach an updated and approved report by the responsible authority to monitor the effectiveness of the Reference and Master Data Management Process, based on predefined and identified Key Performance Indicators (KPIs) and scorecards.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</si>
  <si>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RMD.M.9</t>
  </si>
  <si>
    <t>The Continuous Improvement Report of the RMD Information Architecture and the Implemented Data Hub.</t>
  </si>
  <si>
    <t xml:space="preserve"> The entity must provide the continuous improvement report for the RMD Management Hub/Tool, based on the results of the KPI measurements and relevant updates and developments in the domain, containing the following, at a minimum:
 Review and results documentation: Periodic review and result 
documentation for the RMD Hub/Tool performance.
 Continuous improvement mechanisms: Continuous improvement mechanisms for the RMD Hub/Tool.</t>
  </si>
  <si>
    <t>RMD.M.10</t>
  </si>
  <si>
    <t>Business Intelligence and Analytics</t>
  </si>
  <si>
    <t>BIA</t>
  </si>
  <si>
    <t>BIA.MQ.1</t>
  </si>
  <si>
    <t>Current activities related to BIA.</t>
  </si>
  <si>
    <t xml:space="preserve"> A document must be attached, covering:
 Current activities related to BIA (reports and/or dashboards, etc.).</t>
  </si>
  <si>
    <t>BIA.M.1</t>
  </si>
  <si>
    <t>The defined &amp; approved BIA Plan.</t>
  </si>
  <si>
    <t xml:space="preserve"> A recent BIA plan, approved by the entity’s authority holder must be attached, and the plan must include the following, at a minimum:
• A roadmap of activities and milestones for Data Analytics &amp; Artificial Intelligence (DA &amp; AI) use cases. The activities should include what is necessary to achieve this Domain’s specifications, as a minimum.
• The allocation of the required resources &amp; budget to manage the implementation of the DA &amp; AI use cases.</t>
  </si>
  <si>
    <t>BIA.1.1</t>
  </si>
  <si>
    <t>BIA.C.1.1</t>
  </si>
  <si>
    <t>The BIA plan &amp; roadmap implementation status report.</t>
  </si>
  <si>
    <t xml:space="preserve"> A status report of the BIA Plan &amp; roadmap implementation must be attached, which includes at a minimum:
• Initiative and Project Status: Indicate the status of each initiative or project (not started, in progress, completed, or delayed), along with details of any delays or challenges.
• Progress Percentages: Provide progress percentages for the activities and milestone objectives outlined in the plan and roadmap, with clear details on the actual activities that have been executed.
• Supporting Evidence: Attach proof of progress/achievements, such as reports, images, documents, or meeting minutes that substantiate the implementation status.</t>
  </si>
  <si>
    <t>BIA.M.2</t>
  </si>
  <si>
    <t>The Defined &amp; Documented Roles &amp; Responsibilities for BIA Activities Including Data Stewardship Roles.</t>
  </si>
  <si>
    <t xml:space="preserve"> A document must be attached showing the roles &amp; responsibilities of the data team members working on the BIA Activities’ Implementation including, at a minimum:
 The defined &amp; documented roles &amp; authorizations of all data specialists, including the Data Stewards &amp; Data Owners.</t>
  </si>
  <si>
    <t>BIA.M.3</t>
  </si>
  <si>
    <t>The Effectiveness Monitoring Report of the BIA plan &amp; activities with pre-defined Key Performance Indicators (KPIs).</t>
  </si>
  <si>
    <t xml:space="preserve"> The entity must attach an updated report, approved by the entity’s authority holder, on monitoring the effectiveness of the BIA Plan &amp; Activities’ based on pre-defined and identified KPIs and indicator 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</si>
  <si>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BIA.M.4</t>
  </si>
  <si>
    <t>Regular reviews and improvements to the business intelligence and analytics plan and roadmap.</t>
  </si>
  <si>
    <t xml:space="preserve"> The entity must attach an updated report, approved by the entity’s authority holder presenting continuous improvement of the BIA Plan domain, based on the results of the KPI measurements and relevant updates and developments in the domain containing the following, at a minimum:
• Reviews conducted.
• Results of each review.
• Improvements implemented (with supporting documentation).</t>
  </si>
  <si>
    <t>BIA.M.5</t>
  </si>
  <si>
    <t>BIA.MQ.2</t>
  </si>
  <si>
    <t>List of the implemented BIA uses cases within the Entity.</t>
  </si>
  <si>
    <t>The document must include a list of the use cases implemented within the Entity, and for each use case included in the specified list, the following must be documented, as a minimum:
• The name of the use case.
• The description of the use case.
• The desired &amp; the achieved objectives of the use case.</t>
  </si>
  <si>
    <t>BIA.M.6</t>
  </si>
  <si>
    <t>The approved BIA business cases / BIA use cases.</t>
  </si>
  <si>
    <t>A document must be attached that includes at a minimum:
• The approved list of business cases for business intelligence and analytics: Business cases define the strategic reasons, logical justifications, expected benefits, and return on investment resulting from the implementation of business intelligence and analytics projects.
• The approved list of use cases for business intelligence and analytics: Use cases represent the practical and functional needs related to data analysis and its use within the organization.
For each business case/use case listed in the specified lists, the following must be documented, at a minimum:
• Name of the case.
• Description of the case.
 The stakeholders of the case.
- The list of business cases and use cases for BIA must be approved by the entity’s authority holder and remain valid</t>
  </si>
  <si>
    <t>BIA.M.7</t>
  </si>
  <si>
    <t>The approved BIA Use Cases Prioritization Framework.</t>
  </si>
  <si>
    <t>A document must be attached that includes the approved framework for shortlisting / prioritizing BIA use cases, and the document must include the following, as a minimum:
• Prioritization Identification Criteria: A list of criteria used to prioritize use cases such as strategic alignment, potential impact, complexity, and resource requirements.
• Weighting Criteria: An explanation of how each criterion is weighted and how weighting is specified. This can be based on opinions of experts, inputs from stakeholders, a data-driven approach, etc.
• Scoring Mechanism: A description of how scores are calculated to weight &amp; specify use case priorities.
The framework must be approved by the authorized stakeholder within the organization and be in effect.</t>
  </si>
  <si>
    <t>BIA.1.2</t>
  </si>
  <si>
    <t>BIA.C.1.2.1</t>
  </si>
  <si>
    <t>The shortlisted / prioritized use cases based on business needs.</t>
  </si>
  <si>
    <t>A document must be attached, listing the high-priority use cases based on the pre-approved prioritization framework. For each use case in the prioritization list, the following must be documented, as a minimum:
• The name of the use case.
• The description of the case.
• The priority of the case.
 Note, if there is a single document containing the approved use cases, and / or approved framework, and/or prioritized use cases, this evidence can be attached to this requirement and the previous two requirements.</t>
  </si>
  <si>
    <t>BIA.C.1.2.2</t>
  </si>
  <si>
    <t>The BIA Use Case Portfolio document with details of each use case.</t>
  </si>
  <si>
    <t>A portfolio document of BIA use cases must be attached, and the following details must be documented for each use case, as a minimum:
• The desired &amp; achieved objectives of each use case.
• Type of Analytics leveraged (among the five Analysis-Maturity levels, which are Discovery, Descriptive, Diagnostic, Predictive, Prescriptive).
• The expected benefits &amp; business value aimed to be derived (Return on Investment (ROI) through the development of each business case.
• Stakeholders &amp; Entities involved in the implementation of the use case, the responsible 'owner' who’d lead the use case, and the target consumers who’d benefit from the insights generated by the use case.
• A list of business requirements needed to implement the use case.
• Data sources that would feed the use case, with the required data fields.
• The technologies required to implement the use cases.
• Case priority.</t>
  </si>
  <si>
    <t>BIA.1.3</t>
  </si>
  <si>
    <t>BIA.C.1.3</t>
  </si>
  <si>
    <t>The Approved Use Case implementation plan.</t>
  </si>
  <si>
    <t>An approved BIA use case implementation plan must be attached including:
• The implementation plan for each shortlisted / prioritized &amp; approved Use Case, with the succession order of the implementation steps from the use case trial / piloting phase, getting through the production phase toward continuous result monitoring. The implementation plan shall address the following, as a minimum:
◦ To detail Functional &amp; Non-Functional Requirements – Use case objectives translated into analytics requirements.
◦ High Level Design – Conceptual design of the analytics solution, (e.g., Wireframes).
◦ Staging &amp; Production Environment Preparations – Analytics solution hosting environments during and after development.
◦ Development – Functional &amp; non-functional requirements to be developed to meet the high-level design.
◦ Testing – Scopes &amp; types of testing that must be conducted.
◦ Deployment &amp; Schedule – Timeline for establishing a pilot and / or delivery of the complete use case.
◦ Required Resources – The Entity’s key personnel who have the needed skills, expertise &amp; knowledge to successfully implement the Data Analytics Use Case.
◦ Acceptance Criteria – Key criteria for measuring the successful implementation of the Data Analytics use case.
The plan must be approved by the authority holder in the entity and valid.</t>
  </si>
  <si>
    <t>BIA.1.4</t>
  </si>
  <si>
    <t>BIA.C.1.4</t>
  </si>
  <si>
    <t>The defined use case implementation approach (e.g., DevOps, Agile, etc.).</t>
  </si>
  <si>
    <t>A Use Case Implementation methodology document must be attached including the following, as a minimum:
• The approach/method’s general description.
• Key practices &amp; tools in the approach.
• The roles &amp; responsibilities of the participants in the approach.</t>
  </si>
  <si>
    <t>BIA.M.8</t>
  </si>
  <si>
    <t>The approved use case validation process.</t>
  </si>
  <si>
    <t>A validation process document must be attached showing how to validate use case outcomes, stating the initial intended purpose, and explaining the alignment with the Entity's overall Data Analytics Plan. The validation of use cases shall address the following, as a minimum:
• Analytics Use Case functional and non-functional requirements.
• Analytics Use Case Personal Data Protection (PDP) considerations, as prescribed in the Privacy / PDP Domain.
• Data Analytics Use Case Return on Investment (ROI) for each target set.
The validation process must be approved by the entity’s authority holder and remain valid.</t>
  </si>
  <si>
    <t>BIA.3.1</t>
  </si>
  <si>
    <t>BIA.C.3.1</t>
  </si>
  <si>
    <t>The Implemented and new Use Cases.</t>
  </si>
  <si>
    <t>A document must be provided that includes a list of implemented use cases, as well as another list of new use cases that have been evaluated and implemented according to business requirements. For each use case in the specified list, the following must be documented, as a minimum:
• The name of the use case.
• The description of the case.
• The priority of the case.</t>
  </si>
  <si>
    <t>BIA.M.9</t>
  </si>
  <si>
    <t>The up-to-date BIA use cases register.</t>
  </si>
  <si>
    <t>An up-to-data register of use cases must be attached showing the following, as a minimum:
• The Register’s Releases (with the dates).
• BIA use cases.
• The Results of the final reviews of each use case implementation.
• The stakeholders in the Entity who can view the register.</t>
  </si>
  <si>
    <t>BIA.5.1</t>
  </si>
  <si>
    <t>BIA.C.5.1</t>
  </si>
  <si>
    <t>The Outcomes of the BIA Use Case Validation Processes.</t>
  </si>
  <si>
    <t>A document must be attached showing the outcomes of the BIA use case validation activities, and it must include the outcome of each use case validation process, stating the initial intended purpose, and explaining the alignment with the Entity's overall Data Analytics Plan. The use case validation outcomes document must include the following, as a minimum:
• Analytics Use Case functional and non-functional requirements.
• Analytics Use Case Personal Data Protection (PDP) considerations, as prescribed in the Privacy / PDP Domain.
• Data Analytics Use Case Return on Investment (ROI) for each target set.</t>
  </si>
  <si>
    <t>BIA.M.10</t>
  </si>
  <si>
    <t>The Monitoring Report on the BIA Portfolio Effectiveness with pre-defined Key Performance Indicators (KPIs).</t>
  </si>
  <si>
    <t xml:space="preserve"> The entity must attach an updated report, approved by the entity’s authority holder on monitoring the effectiveness of the BIA portfolio based on pre-defined and identified KPIs 
and indicator cards, containing the following, at a minimum:
•  The number of the identified / shortlisted use cases.
•  The number of use cases in the pilot / beta phase for testing.
•  The number of the implemented use cases that are widely utilized.
•  The total Return on Investment (ROI) value generated from use case implementations.
• Other potential Key Performance Indicators (KPIs) include (but are not limited to):
◦ Accuracy in achieving desired outcomes from analytical models.
◦ Number of positive impacts resulting from implementing use cases on business aspects, such as process improvement or enhancing user experience.
◦ Number of positive impacts resulting from implementing use cases on technical aspects, such as increased adherence to technical standards.
◦ Number of positive impacts resulting from implementing use cases on strategic decisions.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The report should also include: 
• Recommendations for performance improvement based on the actual values of the indicators.
• Supporting documents for the data used to calculate the indicator values.
</t>
  </si>
  <si>
    <t>BIA.4.1</t>
  </si>
  <si>
    <t>BIA.C.4.1.1</t>
  </si>
  <si>
    <t>The continuous Improvement Report on BIA Use Cases.</t>
  </si>
  <si>
    <t>The entity must attach a report on continuous improvement of the BIA Use Cases based on the results of performance indicators measurement and analytics according to relevance, included per use case. The report must, at a minimum:
• Potential Impact.
• Competitive Advantage.
• Total Cost of Ownership (TCO) Analysis:
◦ Analyzing all expenses over the life of the project or per task.
◦ The description of the updated TCO calculation methodology, with any assumptions or estimations applied during the calculation.
• Return on Investment (ROI) Analysis:
◦ Analyze all benefits achieved such as revenue increases, cost savings, or productivity gains, in comparison with the expenses per project or per task.
◦ The description of the updated ROI calculation methodology, with any assumptions or estimations applied during the calculation.</t>
  </si>
  <si>
    <t>BIA.M.11</t>
  </si>
  <si>
    <t xml:space="preserve"> The Updated BIA Use Case 
Register and the Optimized 
Use Cases</t>
  </si>
  <si>
    <t>An updated Register of use cases must be attached, including, at a minimum, the following:
•  The Revised &amp; improved use cases.</t>
  </si>
  <si>
    <t>BIA.M.12</t>
  </si>
  <si>
    <t>BIA.MQ.3</t>
  </si>
  <si>
    <t>The Existing BIA Domain Processes &amp; Governance Documentation.</t>
  </si>
  <si>
    <t>A document must be attached covering the following, as a minimum:
• The details of the current BIA Processes.
• The current BIA Governance documents.</t>
  </si>
  <si>
    <t>BIA.M.13</t>
  </si>
  <si>
    <t>The List of Existing Reports &amp; Dashboards.</t>
  </si>
  <si>
    <t>A document must be attached covering the following, as a minimum:
• The current Reports.
• The current Dashboards.</t>
  </si>
  <si>
    <t>BIA.M.14</t>
  </si>
  <si>
    <t>The Developed &amp; Approved Processes of BIA Management.</t>
  </si>
  <si>
    <t>A document containing details of the developed and approved processes for managing business intelligence and analytics should be attached, which should include, at a minimum: 
• Data warehouse or data lake processes with logical models for modeling business functions.
The operation must be approved by the authority holder in the entity and valid.</t>
  </si>
  <si>
    <t>BIA.M.15</t>
  </si>
  <si>
    <t>The Approved Process of New Data Source Requirements.</t>
  </si>
  <si>
    <t>• Document must be attached containing the approved process management procedures of identifying, evaluating, and approving new sources of data to be used in BIA applications. The document must include, as a minimum:
• Data Source Identification: This includes identifying new sources which may have processes that are related to the Entity's BIA needs, e.g., External data sources or internal data sources from units within the Entity.
• Data Source Evaluation: This involves evaluating new sources which are proposed based on factors such as Data Quality (DQ), alignment with the business objectives, and cost-benefit considerations.
• Prioritizing Data Sources: This includes giving priority to proposed new sources based on the importance of their data and their impact on the Entity’s BIA activities.
• Data Source Approval / Agreement: This includes obtaining the necessary stakeholder approvals, e.g., Data Owners, IT Teams &amp; Business Leaders. copies of the BIA and analytics reports.</t>
  </si>
  <si>
    <t>BIA.M.16</t>
  </si>
  <si>
    <t>The Approved Demand Management Process.</t>
  </si>
  <si>
    <t>The approved process document of BIA Demand Management and data analytics must be attached showing the following:
• Demand Analysis: The process of analyzing the BIA service demand, including request volume, frequency, and complexity.
• Request Prioritization: The process of prioritizing BIA service requests, including the criteria that will be used to prioritize each request.
• Resource Allocation: The process of allocating resources to support the BIA service demand.
• Communication: The process of communicating the BIA service demand status to the stakeholders, and about the performance of the Demand Management process.
• Governance &amp; Compliance: The Governance &amp; Compliance process to implement this approved process for BIA service Demand Management.
The operation must be approved by the authority holder in the entity and valid.</t>
  </si>
  <si>
    <t>BIA.M.17</t>
  </si>
  <si>
    <t>Development and maintenance document of the Semantic Layer.</t>
  </si>
  <si>
    <t>The document for the development and maintenance of the semantic layer in the business intelligence and analytics solution should be attached. It acts as a bridge between data sources and end users by providing a logical representation of the data to facilitate understanding and usage. The document should include, at a minimum, the following:
• Data Source Mapping: The mapping between Data Sources and the Semantic Layer, i.e., How the data from each source is mapped on to the Semantic Layer, including any transformations or collations performed.
• Business Logic: The Business Logic is applied to the data in the Semantic Layer. This shall include Entity-specific definitions of key business concepts.
• Security: This section describes how security is implemented in the Semantic Layer. It shall define the security roles &amp; permissions that apply to the data.
• Performance Optimization: The strategies used to enhance the Semantic Layer’s performance. The strategies shall include technologies such as indexing / cataloging, caching / temporary storage, and clustering to improve query performance.
• Metadata: The Metadata associated with the Semantic Layer, including data descriptions, and definitions of business concepts.
• User Interface: The components of the User Interface used to access and interact with the Semantic Layer, e.g., Dashboards, reports, and data discovery / exploration tools.
• Record and results of any maintenance performed on the semantic layer.</t>
  </si>
  <si>
    <t>BIA.M.18</t>
  </si>
  <si>
    <t>Advanced analytics management and governance process.</t>
  </si>
  <si>
    <t>The document for the management and governance of advanced analytics should be attached. The document must include, as a minimum:
• The Advanced Analytics Governance Framework.
• The operations &amp; the procedures of Data Management in the Advanced Analytics context.
• The operations &amp; the procedures of the Development Management of the Models used in Advanced Analytics, deployment, and maintenance.
• The security &amp; compliance procedures in the context of advanced analytics.
• The operational procedures of advanced analytics.
• The continuous improvement operations &amp; procedures of advanced analytics. This shall include procedures for measuring the Advanced Analytics effectiveness to identify improvement areas and implement the modifications.
The process must be approved by the authority holder in the entity and remain valid</t>
  </si>
  <si>
    <t>BIA.M.19</t>
  </si>
  <si>
    <t>The Developed &amp; Approved Change Management Plan including the training programs.</t>
  </si>
  <si>
    <t>The developed &amp; approved Change Management Plan (for training programs) must be attached including the following, as a minimum:
• The details of BIA training to be conducted for all employees participating in BIA initiatives to raise the level of analytical capabilities within the Entity. The training shall include the following, as a minimum:
◦ Methods of collecting &amp; organizing the data required for the analysis.
◦ Model Development, Analysis Method Implementation, and Analytical Tool Usage.
◦ The Development of Data Models and Data Flow Paths.
◦ The Types of Graphic Representations of Data &amp; Information.
◦ The Analysis Models Evaluation Methods.
The process must be approved by the authority holder in the entity and remain valid</t>
  </si>
  <si>
    <t>BIA.2.1</t>
  </si>
  <si>
    <t>BIA.C.2.1</t>
  </si>
  <si>
    <t>The Developed &amp; Approved Change Management Plan including awareness campaigns.</t>
  </si>
  <si>
    <t>The developed &amp; approved Change Management Plan (for Awareness Campaigns) must be attached including the details of the BIA Domain’s awareness campaigns to enhance familiarity, knowledge &amp; usage of the Data Analysis (DA) &amp; Artificial Intelligence (AI) capabilities. The Entity shall use one or more of the communication channels (owned by the Entity) for awareness campaigns to raise edification of the following:
• The Analytics Assets that the Entity currently owns – previously implemented use cases, analysis models, Application Programming Interfaces (APIs), BI reports, and the monitoring dashboards utilized; all of the above for probable data sharing and potential reuse.
• BIA Success Stories – Quantitative &amp; qualitative benefits and outcomes from recent use case implementation activities.
• The new tools used in the BIA Domain and the technical tool workflows in the Entity Especially those tools that are based on emerging new technologies.
The process must be approved by the authority holder in the entity and valid</t>
  </si>
  <si>
    <t>BIA.2.2</t>
  </si>
  <si>
    <t>BIA.C.2.2</t>
  </si>
  <si>
    <t>The identified &amp; developed Data Sources &amp; Data Marts.</t>
  </si>
  <si>
    <t>A document should be attached that includes, at a minimum, the following:
• Data Sources: e.g., Systems, databases, or applications that create, store, or manage data that will be used in BIA. They can include Internal Data Sources, such as transactional databases, data storages, and data lakes; in addition to External Data Sources, such as social media communication methods, market research reports, and publicly available datasets.
• Data Marts: Subsets / partitions of data warehouses designed to serve particular business units or specific job functions.</t>
  </si>
  <si>
    <t>BIA.M.20</t>
  </si>
  <si>
    <t>Evidences of the adoption &amp; implementation for business intelligence and analytics management and governance.</t>
  </si>
  <si>
    <t>A document must be attached including the following:
• Proofs of adopting and implementing all business intelligence and analytics management and governance processes.
• Proofs of adopting and implementing comprehensive governance that includes emerging topics such as ethics of artificial intelligence.
• Proofs of adopting and implementing advanced analytics management and governance processes (AI/ML Ops).</t>
  </si>
  <si>
    <t>BIA.M.21</t>
  </si>
  <si>
    <t>The approved Operating Model with defined roles &amp; responsibilities for The Data Science team.</t>
  </si>
  <si>
    <t>A document must be attached showing the following:
• The approved Operating Model of the Data Science team.
• Process flow documentation.
• The roles &amp; responsibilities of the Data Science team which shall include, as a minimum:
◦ Data Scientists.
◦ Data Engineers.
◦ Visualization Engineers.
The process must be approved by the authority holder in the entity and remain valid</t>
  </si>
  <si>
    <t>BIA.3.2</t>
  </si>
  <si>
    <t>BIA.C.3.2</t>
  </si>
  <si>
    <t>Evidences of training courses &amp; awareness campaigns conducted.</t>
  </si>
  <si>
    <t>A document must be attached showing the following:
• Proofs of all conducted training courses.
• Proofs of all conducted awareness campaigns.</t>
  </si>
  <si>
    <t>BIA.M.22</t>
  </si>
  <si>
    <t>The approved User Acceptance Test (UAT) Documents.</t>
  </si>
  <si>
    <t>A document must be attached showing the following, as a minimum:
• The approved plan(s) to conduct UATs.
• The approved report(s) on UATs.
The process must be approved by the authority holder in the entity and remain valid</t>
  </si>
  <si>
    <t>BIA.M.23</t>
  </si>
  <si>
    <t>The approved outcomes as Reports &amp; Dashboards produced for The Business Units.</t>
  </si>
  <si>
    <t>A document must be attached showing the following:
• The reports which were generated &amp; approved for each business unit.
• The Dashboards which were generated &amp; approved for each business unit.
• Proofs of fully activating self-service analytics, covering both business intelligence and artificial intelligence/machine learning (AI/ML).
The process must be approved by the authority holder in the entity and remain valid</t>
  </si>
  <si>
    <t>BIA.M.24</t>
  </si>
  <si>
    <t>The Capacity planning document.</t>
  </si>
  <si>
    <t>The Capacity Planning document must be attached showing the following, as a minimum:
• The Current Status Analysis: Analyzing the current BIA activities capacity.
• The Future Status Analysis: Analyzing the expected demand for BIA services.
• The Requirements: Detailing the specific resources required to satisfy the expected BIA Service demands, including hardware devices, software, and employees.
• Capacity Gaps: Identifying the gaps between the current &amp; future capacities / capabilities, and defining strategies to fill the gaps.
• Resource Allocation: Documenting the process of allocating resources to support the Entity's BIA activities, including capacity / capability allocation &amp; resource management.</t>
  </si>
  <si>
    <t>BIA.M.25</t>
  </si>
  <si>
    <t>The Monitoring Report on the effectiveness of practices and processes for managing and governing business intelligence and analytics through pre-defined key performance indicators (KPIs).</t>
  </si>
  <si>
    <t xml:space="preserve"> The entity must attach an updated report, approved by the entity’s authority holder on monitoring the effectiveness of practices and processes for managing and governing business intelligence and analytics based on pre-defined and identified KPIs and indicator 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</si>
  <si>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BIA.M.26</t>
  </si>
  <si>
    <t>The monitoring Report on the effectiveness of training and awareness sessions conducted through pre-defined key performance indicators (KPIs).</t>
  </si>
  <si>
    <t>The entity must attach an updated report that is approved by the authorized person to monitor the effectiveness of the training courses and awareness campaigns implemented, based on the predefined key performance indicators (KPIs) and scorecards, which must cover at a minimum the following:
• Number of training and awareness sessions conducted.
• Other optional indicators include:
◦ The degree of satisfaction of the participants or target audience upon completion of the training course or awareness campaign.
◦ The percentage increase in participation in subsequent events or activities, and the percentage of people who successfully completed the training course compared to the total number of participants.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</si>
  <si>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BIA.C.4.1.2</t>
  </si>
  <si>
    <t>Performance Measurement Report for the Business Intelligence and Analytics Team.</t>
  </si>
  <si>
    <t>The report should include the following:
• Team Performance Indicators: This includes tracking the team's performance through specific indicators such as execution level, quality of work produced, and adherence to timelines.
• Goal Achievement: The report analyzes the team's achievement of predefined goals, such as the development and implementation of specific analytics.
• Data and Analytics Quality: The quality of the data used in the analytics and the accuracy of the resulting insights are evaluated.
• Work Efficiency: The overall work efficiency of the team is estimated by analyzing completed tasks and the effective use of tools and techniques.
• Feedback and Satisfaction: The report may also include surveys of feedback from clients or internal users to assess their satisfaction and measure the quality of the services provided.
• These are just examples, and the content of a Business Intelligence and Analytics Team Performance Measurement Report may vary depending on the needs and goals of the organization.</t>
  </si>
  <si>
    <t>BIA.M.27</t>
  </si>
  <si>
    <t>Establishment of Business Intelligence and Analytics Center Document.</t>
  </si>
  <si>
    <t>A document must be attached to confirm the establishment of the Business Intelligence and Analytics Center within the Entity. The document should include the center's name, objectives, and responsibilities.</t>
  </si>
  <si>
    <t>BIA.M.28</t>
  </si>
  <si>
    <t>The continuous review and improvement of business intelligence and analytics management and governance practices.</t>
  </si>
  <si>
    <t>A report must be attached showing the Reviews, Continuous Improvement &amp; Governance Plan for BIA practices including the following, as a minimum:
• The Review process: It includes the stakeholders’ roles &amp; responsibilities, e.g., the data science / BIA team, business &amp; IT stakeholders. Review methods &amp; tools may be referenced, e.g., Data Collection &amp; Data Analysis methods &amp; tools.
• Schedule: The timetable for conducting the review. The schedule may be based on a specific timeframe, e.g., Quarterly, semiannually, or annually, or it may be based on specific incidents/events, such as the completion of a major project.
• Metrics: The measures used to assess the effectiveness of BIA Practices &amp; BIA Governance, which may include:
◦ Performance Metrics, such as the accuracy of the reports &amp; dashboards.
◦ Compliance Metrics, such as conformity with Data Security &amp; Privacy Policies.
• Reporting &amp; Communication: Review reporting &amp; communication procedures. This may include routine reports sent to the Data Science/BIA team and other business &amp; IT stakeholders.
• The improvements made to business intelligence and analytics management and governance practices.</t>
  </si>
  <si>
    <t>BIA.M.29</t>
  </si>
  <si>
    <t>The continuous Review and Improvement of Business Intelligence and Analytics Team Performance.</t>
  </si>
  <si>
    <t>A report for the continuous review and improvement of the performance of the business intelligence and analytics team must be attached, which should include at a minimum the following:
• Team Performance Review: Regularly collect and analyze data related to team performance, utilizing any previous measurements of team performance.
• Identify Strengths: Identify areas of strength in performance to enhance and/or leverage them in other tasks or projects.
• Identify Areas for Improvement: Identify weaknesses in performance and determine areas that need improvement.
• Enhance Training and Development: Training and development opportunities provided to team members to enhance their skills and capabilities in the field of business intelligence and analytics based on regular performance reviews. These opportunities may include workshops, training courses, and individual mentoring.</t>
  </si>
  <si>
    <t>BIA.M.30</t>
  </si>
  <si>
    <t>The Revised Demand Management Process.</t>
  </si>
  <si>
    <t>The revised process document of BIA Service Demand Management must be attached showing the following:
• The review results summary of the Demand Management Process.
• Demand Analysis: Updates on the process of analyzing the BIA service demand, including request volume, frequency, and complexity.
• Request Prioritization: Updates on the process of prioritizing BIA service requests, including updates on the criteria that will be used to prioritize each request.
• Resource Allocation: Updates on the process of allocating resources to support the BIA service demand.
• Communication: Updates on the process of communicating the BIA service demand status to the stakeholders, and about the performance of the Demand Management process.
• Governance &amp; Compliance: Updates on the Governance &amp; Compliance process to implement this approved process for BIA service Demand Management.</t>
  </si>
  <si>
    <t>BIA.M.31</t>
  </si>
  <si>
    <t>The Updated Capacity Planning document.</t>
  </si>
  <si>
    <t>An updated document must be attached showing Capacity Planning including at a minimum:
• The Current Status Analysis: Analyzing the current BIA activities capacity.
• The Future Status Analysis: Analyzing the expected demand for BIA services.
• The Requirements: Detailing the specific resources required to satisfy the expected BIA Service demands, including hardware devices, software, and employees.
• Capacity Gaps: Identifying the gaps between the current &amp; future capacities / capabilities, and defining strategies to fill the gaps.
• Resource Allocation: Documenting the process of allocating resources to support the Entity's BIA activities, including capacity / capability allocation &amp; resource management.</t>
  </si>
  <si>
    <t>BIA.M.32</t>
  </si>
  <si>
    <t>BIA.MQ.4</t>
  </si>
  <si>
    <t>The list of BIA tools.</t>
  </si>
  <si>
    <t>A document must be attached covering the list of tools used for the Entity’s BI activities. For each tool being used, the following must be indicated:
• The name of the tool.
• The users or the target audience.</t>
  </si>
  <si>
    <t>BIA.M.33</t>
  </si>
  <si>
    <t>The list of reports.</t>
  </si>
  <si>
    <t>A document must be attached covering:
• The list of names of BIA reports which were generated.
• Complete copies of the BIA reports.</t>
  </si>
  <si>
    <t>BIA.M.34</t>
  </si>
  <si>
    <t>The list of business units which use the BIA technology tools.</t>
  </si>
  <si>
    <t>A document must be attached covering:
• A list of names of the business units that use BI technology tools.
• Details of business units that use BI technology tools, which include, as a minimum:
◦ The name of the business unit.
◦ The name of the tool utilized.
◦ The version of the tool.
◦ The purpose of the usage.
◦ The Stakeholders Cooperation to provide the Semantic Layer’s details.</t>
  </si>
  <si>
    <t>BIA.M.35</t>
  </si>
  <si>
    <t>The list of users with role and privileges.</t>
  </si>
  <si>
    <t xml:space="preserve"> A document containing a comprehensive list of users must be attached, including the following information:
• Usernames and Job Roles: Specify the username for each individual and their job role within the organization.
• Access and Privileges: Specify the level of access and privileges granted to each user in the systems and tools used for data analysis and the use of artificial intelligence and machine learning models.
• Permissions for Tools and Platforms: Clarify the tools or platforms that each user has permission to access and use, such as programming languages (R and Python), platforms (Jupyter and Anaconda), and libraries (Numpy and Pandas).
• Updates on Roles and Privileges: Specify any recent changes made to job roles or privileges to ensure continuous updates.
The document must be up-to-date and accurately reflect all active users, their current roles, and privileges. System screenshots must be attached as evidence of the actual roles and privileges.
</t>
  </si>
  <si>
    <t>BIA.M.36</t>
  </si>
  <si>
    <t>The Approved Architecture &amp; Documentation for Advanced Analytics.</t>
  </si>
  <si>
    <t>A document must be attached describing the Approved Architecture &amp; the Approved Documentation for the Entity’s Advanced Analytics, which may include:
• The Advanced Analytics Architecture, including technologies required to support Advanced Analytics.
• Data Storage: Data Storage solutions required to store and manage large data quantities to be used in Advanced Analytics.
• Data Processing: Processing Algorithms &amp; Technologies used to analyze &amp; model data within an Advanced Analytics system.
• Analytics Applications: The applications &amp; tools used to create &amp; deploy analytical models &amp; insights.
• Governance: The Processes &amp; Policies required to control the use of Advanced Analytics within the Entity, including Data Security, Data Privacy, and Compliance Requirements.
• The Implementation Plan: The steps required to implement the Advanced Analytics system within the Entity, including timetables &amp; requirements such as budgets &amp; resources.
 The Architecture &amp; Documentation for Advanced Analytics must be approved by the entity’s authority holder and remain valid.</t>
  </si>
  <si>
    <t>BIA.M.37</t>
  </si>
  <si>
    <t>Advanced Analytics and Communication Project Management Documents.</t>
  </si>
  <si>
    <t>The following documents should be included:
• Documentation for Advanced Analytics Project Management: This documentation includes the traditional elements of project management such as planning, project scheduling, and governance, with a focus on the technical planning for data collection, advanced analytics, and predictive models. It clarifies the technical aspects related to data quality, validity, and cleansing, while considering the requirements of advanced technical infrastructure.
• Communication Documentation: This includes documents for project status updates and reports, detailing the progress made in developing analytical models and results, which are sent to stakeholders such as executive sponsors, business users, and IT teams.
• Document Management and Sharing Mechanism: The mechanisms used for managing and sharing technical documents and analytical data must be clarified, utilizing advanced data management systems to ensure organized and secure access to datasets and analytical models.
•  AI ethics considerations: In planning and analysis, ethical considerations related to the use of artificial intelligence and advanced analytics must be included, such as privacy protection, ensuring fairness, and maintaining transparency in the development and use of analytical models</t>
  </si>
  <si>
    <t>BIA.M.38</t>
  </si>
  <si>
    <t>The Approved Advanced Analytics Models Documents.</t>
  </si>
  <si>
    <t>A document must be attached listing all models developed for Advanced Analytics, model verifications and model approvals for usage. For each Advanced Analytics Model, the following must be documented, as a minimum:
• The purpose of the Model.
• The data sources used.
• The methodology used.
• Verification, Validation, and Testing processes.
The models must be approved by the entity’s authority holder and remain valid</t>
  </si>
  <si>
    <t>BIA.M.39</t>
  </si>
  <si>
    <t>Report on the Effectiveness Monitoring of Business Intelligence and Analytics Tools and Techniques through Pre-defined Key Performance Indicators.</t>
  </si>
  <si>
    <t>A report on the effectiveness monitoring of business intelligence and analytics tools and techniques must be attached, and it may include the following: 
 Key Performance Indicators: Predefined key performance indicators and actual measurements for the adoption and utilization of business intelligence and analytics tools. These indicators may include the number of participating users, data processing volume, response time, and performance. 
 Tool and Technique Usage: Evaluation of the extent of usage of the adopted tools and techniques for data analysis and value extraction. This may include details on usage ratios and distribution among different departments and teams within the organization.
 Results and Analysis: The results, analysis, and insights achieved through the use of business intelligence and analytics tools.
 Recommendations and Improvements: Recommendations for improving the usage of tools and techniques and enhancing their adoption within the organization. Areas for improvement are identified, and appropriate guidance is provided to enhance effectiveness and optimize the benefits of business intelligence and analytics tools.
 Success Evaluation: Evaluation of the success of adopting and utilizing business intelligence and analytics tools. Results are measured against expected objectives and outputs, and an analysis is provided on the achieved benefits and ongoing challenges. effectiveness and optimize the benefits of business intelligence and analytics tools.
• Success Evaluation: Evaluation of the success of adopting and utilizing business intelligence and analytics tools. Results are measured against expected objectives and outputs, and an analysis is provided on the achieved benefits and ongoing challenges.</t>
  </si>
  <si>
    <t>BIA.M.40</t>
  </si>
  <si>
    <t>Document for Continuous Adoption of Technologies, Tools, Frameworks, and Features.</t>
  </si>
  <si>
    <t>The document for continuous adoption should include the following:
• A list of new tools and technologies that have been evaluated or tested and identified.
• Advanced technologies (such as Spark, TensorFlow, and PyTorch) that have been integrated into the artificial intelligence/machine learning environment.
• A list of advanced capabilities, such as tools and engineering features, in artificial intelligence/machine learning that are utilized for complex processing and reusability.
• A list of tools and techniques used in artificial intelligence/machine learning operations for comprehensive management of the artificial intelligence/machine learning lifecycle.</t>
  </si>
  <si>
    <t>BIA.M.41</t>
  </si>
  <si>
    <t>The Continuous Improvement Report of the BIA and Advanced Analytics Technology Solutions including the Proof of Concept (POC) Roadmap.</t>
  </si>
  <si>
    <t xml:space="preserve">A document must be attached for the new technological solution’s roadmap of advanced analytics (POC), which is a detailed plan for testing and evaluating new technologies or tools in the advanced analytics field. This is to prove the existence &amp; implementation of a continuous improvement mechanism. The Report must include the following, as a minimum:
• The Scope: Specifying the scope of the new technological solution’s POC, including the technologies being tested, data sources, and the target audience.
• The Success Criteria: Identifying the success criteria and metrics that will be used to assess success.
• The Timeline: Setting realistic timetables, including start &amp; end dates and milestones.
• Resources: Determining the resources needed to implement the new technological solution’s POC, including technologies, data, employees, and budget.
• Risks &amp; Challenges: Identifying potential risks &amp; challenges associated with the new technological solution’s POC and develop a mitigation plan.
• The Communication Plan: Developing a communication plan to keep stakeholders informed about the progress and the results of the new technological solution.
• Next Steps: Determining the next steps following a POC, such as upscaling the new technological solution, performing extra tests, or additional implementations.
</t>
  </si>
  <si>
    <t>BIA.M.42</t>
  </si>
  <si>
    <t>A Report on the Proof of Concept (POC) Results.</t>
  </si>
  <si>
    <t>A report must be attached containing the POC results of each new technological solution, including, as a minimum:
• An Executive Summary: A brief overview of the main objectives &amp; key results.
• The Methodology: A Description of the methodology used in conducting the POC &amp; performing the periodic tests of the technological solution.
• The Results: A detailed analysis of the POC results &amp; the periodic testing results, including the solution’s strengths &amp; weaknesses, predictions accuracy, and any limitations or issues encountered.
• Recommendations: Any insights or recommendations derived from the results.
• The Conclusion: A conclusion that summarizes the POC results &amp; highlights the business implications.
• The Future Directions: A discussion of the project’s potential next steps, including any recommendations for further development, testing, or deployment.
• Appendices: Supporting materials such as technical documentation, programming code samples, data visualizations, and interfaces.</t>
  </si>
  <si>
    <t>BIA.M.43</t>
  </si>
  <si>
    <t>Data Architecture and Modeling</t>
  </si>
  <si>
    <t>DAM</t>
  </si>
  <si>
    <t>DAM.MQ.1</t>
  </si>
  <si>
    <t>The existing DAM Domain related practices.</t>
  </si>
  <si>
    <t>The Entity must attach a report clarifying the current DAM practices.</t>
  </si>
  <si>
    <t>DAM.M.1</t>
  </si>
  <si>
    <t xml:space="preserve"> The Approved DAM Plan.</t>
  </si>
  <si>
    <t xml:space="preserve"> A recent DAM plan, approved by the entity’s authority holder must include the following, at a minimum:
• Roadmap with the activities &amp; milestones for the Target State Data Architecture. The activities shall incorporate what is needed to achieve this Domain’s specifications, as a minimum.
• The assignment of the required resources &amp; budget to manage the implementation of the Target State Data Architecture.</t>
  </si>
  <si>
    <t>DAM.1.1</t>
  </si>
  <si>
    <t>DAM.C.1.1</t>
  </si>
  <si>
    <t>The Approved Current State Data Architecture &amp; the Existing Technical Architecture.</t>
  </si>
  <si>
    <t>The Entity must attach a report on the Current State Data Architecture and the Technical Architecture to support the development of the Target Architecture. The Current Data Architecture &amp; the existing Technical Architecture shall cover, as a minimum:
• A Data model at the conceptual, logical and physical levels.
• The current processes used in conducting business processes &amp; decision making.
• The Key System Components – The current essential applications, data storages, data processing platforms, and data analytics solutions used in key processes.
• Data flow and Data lineage.</t>
  </si>
  <si>
    <t>DAM.3.1</t>
  </si>
  <si>
    <t>DAM.C.3.1</t>
  </si>
  <si>
    <t>The Approved Target State Data Architecture.</t>
  </si>
  <si>
    <t>The Entity must attach the Target Data Architecture including the following, as a minimum:
• A Data model at the conceptual, logical and physical levels.
• The targeted processes used in conducting business processes &amp; decision making.
• The Key System Components – The targeted essential applications, data storages, data processing platforms, and data analytics solutions used in key processes.
• Data flow and Data lineage.</t>
  </si>
  <si>
    <t>DAM.3.2</t>
  </si>
  <si>
    <t>DAM.C.3.2</t>
  </si>
  <si>
    <t>The Future State Gap Assessment.</t>
  </si>
  <si>
    <t xml:space="preserve"> The entity must attach a report on the Future-State Gap Assessment including the following, at a minimum:
 An analysis of the gaps between the Current Data Architecture and the Target Data Architecture as one of the inputs for the DAM plan.</t>
  </si>
  <si>
    <t>DAM.3.3</t>
  </si>
  <si>
    <t>DAM.C.3.3</t>
  </si>
  <si>
    <t>The Approved Enterprise Architecture Framework.</t>
  </si>
  <si>
    <t>The Entity must attach the Enterprise Architecture (EA) Framework and the general Model of the EA components so that the Government Entity would have a comprehensive business &amp; IT blueprint that’s linked &amp; aligned with the Entity’s strategic objectives.</t>
  </si>
  <si>
    <t>DAM.M.2</t>
  </si>
  <si>
    <t>The DAM Policy.</t>
  </si>
  <si>
    <t>The Entity must attach the DAM Policies including the following for each policy, as a minimum:
• Policy Name.
• Release Date.
• Release Number.
• Document Control (Preparation, Review, Approval).
• Version History.
• Terminologies.
• Goal.
• Scope of Work.
• Roles &amp; Responsibilities.
• References.
• Policy Owner.
• Policy Statement including the following:
◦ The Target Data Architecture shall address the strategic requirements defined within the Entity's Data Management &amp; Personal Data Protection (DM &amp; PDP) Strategy.
◦ The Target Data Architecture shall be mapped with the overall Enterprise Architecture (EA).
◦ The Target Data Architecture shall adopt a popular Enterprise Architecture Framework, (e.g., TOGAF, Zachmann).
◦ The regular mechanisms of monitoring &amp; updating Data Models.</t>
  </si>
  <si>
    <t>DAM.2.1</t>
  </si>
  <si>
    <t>DAM.C.2.1</t>
  </si>
  <si>
    <t>The DAM Plan Implementation Progress Report.</t>
  </si>
  <si>
    <t>The Entity must attach a report clarifying the implementation status , including, at a minimum, the following:
• The achievement percentages of the initiatives &amp; projects included in the DAM Implementation Plan.</t>
  </si>
  <si>
    <t>DAM.M.3</t>
  </si>
  <si>
    <t>The EA Framework Implementation Report.</t>
  </si>
  <si>
    <t xml:space="preserve"> The entity must prove the application of the approved EA Framework by attaching samples from the used EA tool or the National EA Certificate of Approval. </t>
  </si>
  <si>
    <t>DAM.M.4</t>
  </si>
  <si>
    <t>The Monitoring Report of the DAM Plan &amp; Activities Implementation with Predefined KPIs.</t>
  </si>
  <si>
    <t>DAM.6.1</t>
  </si>
  <si>
    <t>DAM.C.6.1</t>
  </si>
  <si>
    <t>The Data Architecture Plan's Continuous Improvement Report.</t>
  </si>
  <si>
    <t>The entity must attach a report demonstrating that it has identified, implemented, and monitored mechanisms for the continuous improvement of the data structuring plan in accordance with the results of performance indicator measurements, as well as relevant developments and updates in the field. The report must include, at a minimum, the following:
• The Documentation of the periodic Data Architecture reviews and the documented results.
• The continuous improvement mechanisms.</t>
  </si>
  <si>
    <t>DAM.M.5</t>
  </si>
  <si>
    <t>The Architecture Change Management Process.</t>
  </si>
  <si>
    <t>The Entity must attach a document clarifying a specific Architecture Change Management Process for reviewing, approving and implementing changes in the Current &amp; Target Data Architectures. The Architecture Change Scope shall include the following, as a minimum:
• The requests for new DAM initiatives.
• The modifications on the Current State Architecture documents of the existing initiatives.</t>
  </si>
  <si>
    <t>DAM.5.1</t>
  </si>
  <si>
    <t>DAM.C.5.1</t>
  </si>
  <si>
    <t>The Change Control Document.</t>
  </si>
  <si>
    <t>The Entity must attach a document clarifying the Change Control Process to be used in changing the Current &amp; Target Data Architectures. The document shall include the following, as a minimum:
• The scope of change.
• The impact assessment of the change.
• The procedures of the change.
• The roles &amp; responsibilities.
• The data of change approvals.
• The data of the change requester.</t>
  </si>
  <si>
    <t>DAM.M.6</t>
  </si>
  <si>
    <t>The Data Architecture Checkpoints Report.</t>
  </si>
  <si>
    <t>The Entity must attach a report showing that the Entity incorporated Data Architecture Checkpoints in the Software Development Lifecycle (SDLC) processes. The Checkpoints shall include the following, as a minimum:
• Investigating the possibilities of reusing the existing Data Architecture components to address the business requirements.
• Validating the conformance of the created Data Models with the Entity's Enterprise Data Model.
• Verifying if the project implies any change required to be done on the Entity's overall Enterprise Data Model.</t>
  </si>
  <si>
    <t>DAM.5.2</t>
  </si>
  <si>
    <t>DAM.C.5.2</t>
  </si>
  <si>
    <t>DAM.MQ.2</t>
  </si>
  <si>
    <t xml:space="preserve"> The Current Data Flows and 
Data Models Activities</t>
  </si>
  <si>
    <t>The Entity must attach the following, as a minimum:
• Proof of the current processes followed to manage the Data Flow &amp; DAM Practices.
• Documents which clarify the current (Conceptual &amp; Logical) Data Models.
• Documents which clarify the Data Lineages (of Data Flows) being aligned with business requirements.</t>
  </si>
  <si>
    <t>DAM.M.7</t>
  </si>
  <si>
    <t>A document containing the Approved Business Processes on the Data Architecture and any Related Data Flow.</t>
  </si>
  <si>
    <t>The Entity must attach a document clarifying the Business Processes on the Data Architecture, identifying the roles &amp; responsibilities to ensure compliance with DAM Policies and effective &amp; systematic achievements of Data Architecture activities.</t>
  </si>
  <si>
    <t>DAM.M.8</t>
  </si>
  <si>
    <t>A document containing the Big Data Considerations Including the Data Lake Requirements.</t>
  </si>
  <si>
    <t>The Entity must attach a document specifying the requirements for developing a Data Storage / Lake Environment using a vendor-neutral Big Data Reference Architecture Framework (e.g., NIST) and incorporating Big Data architecture components into its overall target Data Architecture design. The Data Storage / Lake requirements shall address the following, as a minimum:
• Ingest – Ingesting and converting semi structured &amp; unstructured datasets into a structured form.
• Infrastructure – Networking, computing and storage requirements needed to handle large, diverse formats of data.
• Platform – A distributed storage solution providing distributed computing / processing capabilities.</t>
  </si>
  <si>
    <t>DAM.3.4</t>
  </si>
  <si>
    <t>DAM.C.3.4</t>
  </si>
  <si>
    <t>A document containing the Data Processing Considerations Including the Partitioning Strategy.</t>
  </si>
  <si>
    <t>The Entity must attach a document specifying data processing considerations including the following, as a minimum:
• A partitioning strategy for its Target State Data Architecture for efficient processing of various data volumes, data variety &amp; data velocity.
• The partitioning strategy coverage of both real time and batch processing operations.</t>
  </si>
  <si>
    <t>DAM.3.5</t>
  </si>
  <si>
    <t>DAM.C.3.5</t>
  </si>
  <si>
    <t>Model representation.</t>
  </si>
  <si>
    <t>Attach a document demonstrating the selection and documentation of a planning method to document business structure, relationships, and code at the conceptual, logical, and physical levels, and use it throughout the software application development life cycle.</t>
  </si>
  <si>
    <t>DAM.4.1</t>
  </si>
  <si>
    <t>DAM.C4.1</t>
  </si>
  <si>
    <t>The DAM Register.</t>
  </si>
  <si>
    <t>The Entity must attach a Register clarifying the saving mechanism of the following:
• The Data Architecture &amp; Technical Architecture project.
• The reference documentations / materials.
• Data Model designs.</t>
  </si>
  <si>
    <t>DAM.7.1</t>
  </si>
  <si>
    <t>DAM.C.7.1</t>
  </si>
  <si>
    <t>A document containing the Data Model Representation's Technical Standards &amp; Best Practices.</t>
  </si>
  <si>
    <t>The Entity must attach a document clarifying that the Entity adhered to a standardized method in building Data Models according to best practices (Such as naming conventions, data types, basic attributes, physical model deployment considerations, improvements, etc.).</t>
  </si>
  <si>
    <t>DAM.M.9</t>
  </si>
  <si>
    <t>The Data Integration Pattern Implementation Document.</t>
  </si>
  <si>
    <t>The Entity must attach the documents of the Data Integration Pattern diagramming (implemented within the Data Architecture).</t>
  </si>
  <si>
    <t>DAM.M.10</t>
  </si>
  <si>
    <t>Evidences of DAM Tools &amp; Technologies in Use.</t>
  </si>
  <si>
    <t>The Entity must choose &amp; implement a set of technologies to design, develop and execute the Entity’s DAM initiatives. The set of technological tools shall include, as a minimum:
• Data Architecture Design: Visually representing data and system components along with data flow diagramming.
• Data Modeling: Drawing functionality to create &amp; modify data and system objects, attributes and relationships, and reverse-engineer the existing data models.
• Data Lineage: Capturing and maintaining data flows between systems to enable an impact analysis.</t>
  </si>
  <si>
    <t>DAM.4.2</t>
  </si>
  <si>
    <t>DAM.C.4.2</t>
  </si>
  <si>
    <t>Evidences of the Enterprise Data Model Uploaded in the Data Catalog.</t>
  </si>
  <si>
    <t xml:space="preserve"> The entity must attach a proof that the Data Catalog has been updated based on new or updated Data Models, to ensure alignment of data models with the Data Catalog.</t>
  </si>
  <si>
    <t>DAM.M.11</t>
  </si>
  <si>
    <t>Evidences of Applying the Technical Data Standards.</t>
  </si>
  <si>
    <t>The Entity must attach (3) samples proving applying Technical Standards on the Data Representation Models which were Predefined in the Data Model Representation’s Technical Standards Document.</t>
  </si>
  <si>
    <t>DAM.M.12</t>
  </si>
  <si>
    <t>The Monitoring Report of the Implementation of the DAM Practices with Pre-defined KPIs.</t>
  </si>
  <si>
    <t>The entity must attach an updated and approved report by the responsible authority to measure the Entity’s Performance in implementation DAM practices, based on predefined and identified Key Performance Indicators (KPIs) and scorecards.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</si>
  <si>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DAM.M.13</t>
  </si>
  <si>
    <t xml:space="preserve"> The Continuous Improvement Report Including the DAM Business Procedures Documentation</t>
  </si>
  <si>
    <t xml:space="preserve"> The entity must attach the continuous improvement report for the DAM 
practices documentation, based on the results of the KPI measurements and 
relevant updates and developments in the domain containing the following, at a 
minimum:
 Evidence of automation of DAM processes.
 Review and results documentation: Periodic review and result 
documentation for DAM Practices.
 Continuous improvement mechanisms: Continuous improvement 
mechanisms for DAM Practices.</t>
  </si>
  <si>
    <t>DAM.M.14</t>
  </si>
  <si>
    <t>Freedom of Information</t>
  </si>
  <si>
    <t>FOI</t>
  </si>
  <si>
    <t>FOI.MQ.1</t>
  </si>
  <si>
    <t>The Existing FOI Practices.</t>
  </si>
  <si>
    <t>The Entity must attach a report on the current practices in the FOI Domain containing implementation evidences of these practices.</t>
  </si>
  <si>
    <t>FOI.M.1</t>
  </si>
  <si>
    <t>The Defined &amp; Approved FOI Implementation Plan &amp; Roadmap.</t>
  </si>
  <si>
    <t>The Entity must attach the approved FOI Domain implementation plan and roadmap including the following, as a minimum:
• A roadmap that includes the activities and milestones for the achievement of full compliance with the FOI regulations published by NDMO-SDAIA. The activities shall incorporate what is needed to achieve this Domain’s specifications, as a minimum.
• The assignment of the required resources &amp; budget allocation to achieve full compliance with the FOI regulations published by NDMO-SDAIA.</t>
  </si>
  <si>
    <t>FOI.1.1</t>
  </si>
  <si>
    <t>FOI.C.1.1</t>
  </si>
  <si>
    <t>The FOI Plan Implementation Status Report.</t>
  </si>
  <si>
    <t xml:space="preserve"> The entity must attach a report of the FOI Plan implementation status, including the 
following, at a minimum:
 Initiatives and projects status: Identifying the status of each initiative 
or project (started, in progress, completed, or delayed), along with 
clarification of any delays or challenges.
 Progress percentages: Providing the progress percentages of 
activities and milestones in the plan and roadmap, with clear details 
on the actual activities that have been completed.
 Supporting evidence: Attaching proof of achieved 
progress/completion, such as reports, photos, documents, or 
meeting minutes that support the implementation status.</t>
  </si>
  <si>
    <t>FOI.M.2</t>
  </si>
  <si>
    <t>The Assigned Open Data &amp; Information Access Officer (ODIAO).</t>
  </si>
  <si>
    <t>The entity must attach the Open Data &amp; Information Access Officer (ODIAO) employment decision letter, with the roles and responsibilities stated.</t>
  </si>
  <si>
    <t>FOI.M.3</t>
  </si>
  <si>
    <t>FOI Awareness.</t>
  </si>
  <si>
    <t>The Entity should attach a report proving its implementation of awareness campaigns in FOI, with the aim of instilling a culture of transparency and promoting it, and raising awareness of the policy of FOI issued by the NDMO-SDAIA and the right to access public information. Awareness campaigns should include, at a minimum, the following:
• Raising awareness among employees involved in the processing of FOI requests to understand the main obligations and requirements of the FOI policies issued by the NDMO-SDAIA.
• Raising awareness about the FOI principles and their application to the rights of beneficiaries.</t>
  </si>
  <si>
    <t>FOI.2.1</t>
  </si>
  <si>
    <t>FOI.C.2.1</t>
  </si>
  <si>
    <t>The Monitoring Report on the Entity's FOI Plan &amp; Activities with Predefined Key Performance Indicators (KPIs).</t>
  </si>
  <si>
    <t>The Entity must attach a report prepared based on predefined KPIs (Indicator Cards), and each indicator’s data or card should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</si>
  <si>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FOI.M.4</t>
  </si>
  <si>
    <t>The Internal audit reports on the entity's Compliance with the FOI Regulations.</t>
  </si>
  <si>
    <t>The Entity must attach reports including the following:
• The conducted internal audits of monitoring the compliance with the FOI Regulations published by NDMO-SDAIA.
• The documented audit findings, submitted in a report to the Open Data &amp; Information Access Officer (ODIAO).
• The corrective actions applied in cases of non-compliance, with notifications to the regulatory authority or NDMO -As it stated-, and documentation of these improvements in the audit findings report.</t>
  </si>
  <si>
    <t>FOI.3.6</t>
  </si>
  <si>
    <t>FOI.C.3.6</t>
  </si>
  <si>
    <t>The Continuous Improvement Report of the FOI Plan.</t>
  </si>
  <si>
    <t xml:space="preserve"> The entity must attach an updated report, approved by the entity’s authority holder 
presenting continuous improvement of the FOI domain plan based on the results of 
the KPI measurements and relevant updates and developments in the domain 
containing the following, at a minimum:
 Reviews conducted.
 Results of each review.
 Improvements implemented (with supporting documents).</t>
  </si>
  <si>
    <t>FOI.M.5</t>
  </si>
  <si>
    <t>FOI.MQ.2</t>
  </si>
  <si>
    <t>The Existing Processes for the FOI Requests &amp; Responses.</t>
  </si>
  <si>
    <t>The Entity must attach evidences of a previously done process(es) and response(s) to information request(s).</t>
  </si>
  <si>
    <t>FOI.M.6</t>
  </si>
  <si>
    <t>The Developed &amp; Approved FOI Request Processes &amp; Procedures Documentation.</t>
  </si>
  <si>
    <t>The Entity must attach the developed and approved procedures and processes of FOI requests. The Entity must design and document a standardized / unified process for information requests and develop procedures for managing, processing and documenting requests for access to public information in alignment with the FOI Regulations published by NDMO-SDAIA.</t>
  </si>
  <si>
    <t>FOI.3.1</t>
  </si>
  <si>
    <t>FOI.C.3.1</t>
  </si>
  <si>
    <t>The Developed FOI Process Guide &amp; FAQs</t>
  </si>
  <si>
    <t>The Entity must attach the developed FOI process guideline and answers to the Frequently Asked Questions (FAQs). The guide must clarify the following, as a minimum:
• The request preparation mechanism.
• The request sending mechanism.
• The response awaiting mechanism.
• The response review mechanism.
• The appeals mechanism (if required).
• Moreover, the FAQs may include common questions about the FOI process, requirements, timelines, and other info related to requesting information. Submitting FAQs can help clarify common inquiries and provide useful info for individuals seeking to submit FOI requests.</t>
  </si>
  <si>
    <t>FOI.M.7</t>
  </si>
  <si>
    <t>The Implementation / Adoption Status Report on the FOI Request Processes.</t>
  </si>
  <si>
    <t>The Entity must attach a report on the FOI request process implementation status covering the following:
• Granting access to a public information request(s).
• Denying a public information access request(s).
• Extending the time required to respond to specific requests.
• Notifying the requestor(s) if the required information is available on the Entity’s website or is not within its specialty.</t>
  </si>
  <si>
    <t>FOI.3.2</t>
  </si>
  <si>
    <t>FOI.C.3.2</t>
  </si>
  <si>
    <t>Evidences of Entity-wide Communication</t>
  </si>
  <si>
    <t>The Entity must attach evidences for Entity-wide communications and public publications, in alignment with the FOI Regulations published by NDMO-SDAIA, without contradicting the applicable regulations in the Kingdom of Saudi Arabia (KSA). The Entity must publish the following information on its official government website or websites linked to it:
• The Laws, regulations, instructions and regulatory decisions applicable to the Entity / followed within the Entity.
• The Entity's services provided with description detailing how to obtain access to those services.
• The Entity's organizational structure including the roles &amp; responsibilities.
• The Entity's job vacancy information, except information of security or military job vacancies as determined by the security or military regulatory authorities or applicable KSA Regulations.
• The Entity's annual strategic and operational reports including the Entity's financial statements.
• The Entity's general statistics, news and updates on its activities including the following, as a minimum: ◦ The number of the Entity's employees. ◦ The year of the Entity's establishment. ◦ The number of the Entity's services provided in the last year. ◦ The Entity's up-to-date activities' descriptions. ◦ The projects provided by the Entity as stated in the FOI Regulations regarding the risks which may affect people’s lives, health and properties. The information must contain the contact details of persons with valid licenses granted by the Entity including the following, as a minimum: ⁃ The names of the persons. ⁃ The postal addresses of the persons. ⁃ The e-mail addresses of the persons. ⁃ Information on projects offered or awarded by the Entity as prescribed by the FOI Regulations regarding any risk that may affect people’s lives, health or properties. The information must include the following, as a minimum: » The names of the recipients. » The execution periods. » The technical analysis. » The guidelines and leaflets that raise the people's awareness of their rights to the Entity’s FOI. » If the information above is not available or applicable, the Entity must provide a justification with these evidences, and in line with the FOI Regulations.</t>
  </si>
  <si>
    <t>FOI.3.3</t>
  </si>
  <si>
    <t>FOI.C.3.3</t>
  </si>
  <si>
    <t>The Register of the Received Request Forms with the Responses.</t>
  </si>
  <si>
    <t>The Entity must attach the prepared request forms for access to Public Information -whether paper or electronic specifying the required information to be provided by the Requestor. The required information must include the following, as a minimum: • Information about the Requestor including name, address, national ID. • Description of Public Information requested by the requestor. • Purpose behind the request for access to public information. • Legal basis for the request. • Notice delivery method to the requestor (e-mail, national address). • Date of the request.</t>
  </si>
  <si>
    <t>FOI.3.4</t>
  </si>
  <si>
    <t>FOI.C.3.4</t>
  </si>
  <si>
    <t>The Identified Public Datasets Shared Under the FOI Regulations.</t>
  </si>
  <si>
    <t>The Entity must attach evidence of publishing specific Public Datasets, under the FOI Regulations.
Responding to FOI requests can sometimes lead to the publication of open datasets as part of the Open Data (OD) initiatives.
When a requestor submits an FOI request to obtain specific information that is within the scope of FOI Regulations, and the request is granted, the government Entity may provide the requested information in the form of a dataset. If a published dataset meets the criteria of being publicly available, machine-readable, and reusable, it can be considered Open Data (OD).</t>
  </si>
  <si>
    <t>FOI.M.8</t>
  </si>
  <si>
    <t>Evidences of the Published FOI Communications Including Guidelines &amp; FAQs on the Entity's Official Gov Website in Line with the NDMO Requirements.</t>
  </si>
  <si>
    <t>The Entity must attach evidence of the FOI communication publications, including guidelines and Frequently Asked Questions (FAQs), on the Entity’s official website, in line with NDMO requirements.</t>
  </si>
  <si>
    <t>FOI.M.9</t>
  </si>
  <si>
    <t>The Pricing Scheme for Public Information Access Requests.</t>
  </si>
  <si>
    <t xml:space="preserve"> The entity must attach a public information access request pricing mechanism. The entity must calculate and document the processing fees of each granted / approved public-information access request, by adopting a Pricing Scheme determined by the entity.</t>
  </si>
  <si>
    <t>FOI.3.5</t>
  </si>
  <si>
    <t>FOI.C.3.5</t>
  </si>
  <si>
    <t>The Up-to-date FOI Register.</t>
  </si>
  <si>
    <t>The Entity must attach an updated FOI Register as the Entity must document compliance records in a register as instructed in the FOI guidelines published by NDMO-SDAIA. The Register must include the following, as a minimum:
• Information on the current Open Data and Information Access Officer (ODIAO).
• Public Information Access Request Records.
• Public Entity Publications.
• Any other records, including the manner and format, as required by the FOI Regulations published by NDMO-SDAIA.</t>
  </si>
  <si>
    <t>FOI.4.1</t>
  </si>
  <si>
    <t>FOI.C.4.1</t>
  </si>
  <si>
    <t>The Monitoring Report with Predefined KPIs for the Entity's Responses on FOI Requests.</t>
  </si>
  <si>
    <t>The Entity must attach a report on monitoring the Entity’s responses to FOI requests based on predefined KPIs (Indicator Cards). Each indicator’s data or card should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</si>
  <si>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The Continuous Improvement Report on the FOI Processes.</t>
  </si>
  <si>
    <t>The Entity must attach a report on the updated FOI process(es) including the changes, with reference to revised copies of the documents which identify the steps and procedures for a particular FOI process or task including:
• The review documents and the documented periodic results of the updated processes, with the changes.
• The FOI Processes continuous improvement mechanisms.</t>
  </si>
  <si>
    <t>FOI.M.10</t>
  </si>
  <si>
    <t>The Automated tool for FOI requests.</t>
  </si>
  <si>
    <t>The Entity must attach a report describing (name, version, etc.) the tool(s) used to automate the FOI request responding process.
A tool refers to a program or an application designed to simplify and automate the process of handling / processing FOI requests from submission to completion. Such a tool can enhance efficiency, accuracy, and transparency in managing FOI requests by automating various tasks, reducing manual efforts, and ensuring compliance with FOI Laws and Regulations.</t>
  </si>
  <si>
    <t>FOI.M.11</t>
  </si>
  <si>
    <t>Open Data</t>
  </si>
  <si>
    <t>OD</t>
  </si>
  <si>
    <t>OD.MQ.1</t>
  </si>
  <si>
    <t>The existing list of Open Datasets.</t>
  </si>
  <si>
    <t>A document must be attached covering the current list of open datasets. For each existing open dataset, the following information must be provided, as a minimum:
• Name: The name of the open dataset.
• Description: A brief description of each open dataset, including its source and any related information.
• Download Links: The download link of each open dataset.</t>
  </si>
  <si>
    <t>OD.M.1</t>
  </si>
  <si>
    <t>The approved Open Data Framework.</t>
  </si>
  <si>
    <t>The approved framework document for open data must be attached, which includes at least the following:
•The approach/methodology followed to make open data available to the public. 
The framework must be approved by the authorized person in the entity.</t>
  </si>
  <si>
    <t>OD.M.2</t>
  </si>
  <si>
    <t>The approved Open Data plan.</t>
  </si>
  <si>
    <t xml:space="preserve"> The recent OD plan, approved by the entity’s authority holder, must be attached, including the following at a minimum:
• A roadmap that includes activities milestones for the implementation of OD initiatives. The activities shall include what is necessary to achieve the specifications of this Domain, as a minimum.
• Allocation of the required resources &amp; budget to manage the implementation of OD initiatives.</t>
  </si>
  <si>
    <t>OD.1.1</t>
  </si>
  <si>
    <t>OD.C.1.1</t>
  </si>
  <si>
    <t>The OD Management structure.</t>
  </si>
  <si>
    <t>An Open Data Management Structure document must be attached including, as a minimum:
• The roles &amp; responsibilities.
• The compliance audit framework.</t>
  </si>
  <si>
    <t>OD.M.3</t>
  </si>
  <si>
    <t>The Developed and Approved 
Plan for Change Management 
(Including awareness 
campaigns).</t>
  </si>
  <si>
    <t>A document must be attached containing the change management plan that has been developed &amp; approved including, as a minimum:
• The OD activities awareness campaigns plan including the following, as a minimum:
◦ The usage of open data, and its various positive social &amp; economic benefits.
◦ Promoting the Entity's open data &amp; the related activities.
The plan must be approved by the entity's authority holder and remain valid.</t>
  </si>
  <si>
    <t>OD.2.1</t>
  </si>
  <si>
    <t>OD.C.2.1</t>
  </si>
  <si>
    <t xml:space="preserve"> The Developed and Approved 
Plan for Change Management 
(Including Training Programs).</t>
  </si>
  <si>
    <t xml:space="preserve"> A document must be attached containing the change management plan that has been developed &amp; approved including:
• Training Objectives: Clarify objectives such as enabling employees to apply open data policies and improving efficiency in managing them.
• Target Audiences: Identify the trainees and their job levels.
• Training Content: Includes definitions of open data, publishing policies, tools and techniques, data classification, impact and risk assessment, and ensuring privacy.
• Training Schedule: Specify training dates and phases.
The plan must be approved by the authorized person in the entity and be remain valid.</t>
  </si>
  <si>
    <t>OD.M.4</t>
  </si>
  <si>
    <t>The Open Data Plan Implementation status report.</t>
  </si>
  <si>
    <t>The report on the status of implementing the open data plan and the roadmap must be attached, which includes at least the following:
Status of initiatives and projects: 
• Specify the status of each initiative or project (started, in progress, completed, or delayed) and clarify any delays or challenges.
• Completion percentages: Provide completion percentages of activities and milestone objectives in the plan and roadmap, with clear details about the actual activities that have been implemented.
• Supporting evidence: Attach evidence of the progress achieved, such as reports, photos, documents, or meeting minutes that support the status of implementation.</t>
  </si>
  <si>
    <t>OD.M.5</t>
  </si>
  <si>
    <t>Evidence of submission of the annual Compliance report to NDMO-SDAIA.</t>
  </si>
  <si>
    <t>The Entity must attach the Annual Compliance Report submitted to NDMO-SDAIA and attach the evidence of the submission.</t>
  </si>
  <si>
    <t>OD.M.6</t>
  </si>
  <si>
    <t>Assignment decisions / appointees to job roles.</t>
  </si>
  <si>
    <t>A document must be attached including the hiring / assignment decisions for the following roles including job descriptions:
• Open Data &amp; Information Access Officer (ODIAO).
• Business Data Executive (BDE).
• Business Data Steward.</t>
  </si>
  <si>
    <t>OD.M.7</t>
  </si>
  <si>
    <t>Evidence of Implementation of the Change Management Program (The conducted training courses and the launched awareness campaigns related to Open Data).</t>
  </si>
  <si>
    <t xml:space="preserve">
A document should be attached that includes the following:
• Evidence of the implementation of training courses related to Open Data.
• Evidence of the launch of awareness campaigns related to Open Data.</t>
  </si>
  <si>
    <t>OD.M.8</t>
  </si>
  <si>
    <t>The Monitoring Report on the Effectiveness of the Open Data Plan through Predefined Key Performance Indicators (KPIs).</t>
  </si>
  <si>
    <t>The entity must attach an updated report, approved by the entity’s authority holder on monitoring the effectiveness of the Open Data Plan based on pre-defined and identified KPIs and indicator cards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</si>
  <si>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OD.4.1</t>
  </si>
  <si>
    <t>OD.C.4.1.1</t>
  </si>
  <si>
    <t>The periodic reviews and improvements of the open data plan.</t>
  </si>
  <si>
    <t xml:space="preserve"> The entity must attach an updated report, approved by the entity’s authority holder demonstrating continuous improvement of the open data domain plan based on the results of the KPI measurements and relevant updates and developments in the 
domain containing the following, at a minimum:
 Reviews conducted.
 Results of each review.
 Improvements implemented (with supporting documents).</t>
  </si>
  <si>
    <t>OD.M.9</t>
  </si>
  <si>
    <t>OD.MQ.2</t>
  </si>
  <si>
    <t>The Existing Practices for OD Identification.</t>
  </si>
  <si>
    <t>A document must be attached, explaining:
 the Current OD Identification Practices.</t>
  </si>
  <si>
    <t>OD.M.10</t>
  </si>
  <si>
    <t>The Defined Process Documentation for managing the lifecycle of Open Data.</t>
  </si>
  <si>
    <t>A document must be attached containing the Open Data Lifecycle Management Processes including the following, as a minimum:
• Processes to identify public datasets to be published by the Entity.
• Processes to ensure that datasets are published and maintained to their appropriate format, timeliness, comprehensiveness, and overall high quality and ensure the exclusion of any restricted data.
• Processes for gathering feedback, analyzing performance at the Entity level, and improving the overall Open Data national impact.</t>
  </si>
  <si>
    <t>OD.3.1</t>
  </si>
  <si>
    <t>OD.C.3.1</t>
  </si>
  <si>
    <t>The Defined Process Documentation for Identifying Open Data.</t>
  </si>
  <si>
    <t>A document must be attached containing the Open Data Identification Process including the following, as a minimum:
• Identifying and documenting all data classified as 'Public' and prioritizing each dataset included under open data.
• Evaluating the identified datasets to determine whether to be published as open data or not.
• Determining whether the combination of any publicly available data and the data to be published would constitute an unauthorized disclosure of Personal Information, or any other Security or privacy risk or threat.
The process must be approved by the entity's authority holder and remain valid.</t>
  </si>
  <si>
    <t>OD.M.11</t>
  </si>
  <si>
    <t>The process of evaluating the value and impact of open or public datasets.</t>
  </si>
  <si>
    <t>Should include a document that outlines the process for assessing the estimated value and potential impact of open or public datasets, which should include, at a minimum, the following:
• Steps and methods for analyzing the value of each open dataset from different dimensions such as economic (e.g., ROI), social, and environmental dimensions.
• Steps and methods for evaluating the potential impact after sharing open or public datasets, such as increasing transparency, improving decision-making processes, and enhancing research and innovation.
• Risk assessment and mitigation methods for identifying potential risks associated with open datasets, such as security threats, data breaches, privacy concerns, Data Quality (DQ) issues, intellectual property violations, etc.
The process must be approved by the authorized person in the entity and be valid.</t>
  </si>
  <si>
    <t>OD.M.12</t>
  </si>
  <si>
    <t>The OD Identification Process Implementation Status Report.</t>
  </si>
  <si>
    <t>A report must be attached showing the implementation status of the Open Data identification process.</t>
  </si>
  <si>
    <t>OD.M.13</t>
  </si>
  <si>
    <t>The list of Identified Open Datasets with the assigned priorities.</t>
  </si>
  <si>
    <t>A document must be attached containing the list of public datasets considered to be published as open data, with the classification &amp; prioritization information for each dataset. For each dataset, the following information must be provided, as a minimum:
• Name: The name of the dataset.
• Description: A brief description of each dataset, including its source and any related information.
• Size: The size of each dataset in terms of the number of records or file size.
The process must be approved by the authorized person in the entity and be valid.</t>
  </si>
  <si>
    <t>OD.3.2</t>
  </si>
  <si>
    <t>OD.C.3.2.1</t>
  </si>
  <si>
    <t>The Identified &amp; Documented Metadata for the Open Datasets.</t>
  </si>
  <si>
    <t>A document must be attached that includes the specified and documented metadata for open data sets, which includes at least the following:  
• The necessary metadata for each open data set to facilitate its identification, description, and searchability once published. The metadata for each set may include the following elements:  
  ◦ Name of the data set.  
  ◦ A brief description of the data set.  
  ◦ The publishing entity.  
  ◦ Language.  
  ◦ Time period.  
  ◦ Source link.  
  ◦ Update frequency (e.g., weekly/monthly/quarterly/annually, etc.).  
  ◦ Spatial coverage (e.g., city/cities).  
  ◦ Start date.  
  ◦ Update date.  
  ◦ Tags/keywords.</t>
  </si>
  <si>
    <t>OD.3.4</t>
  </si>
  <si>
    <t>OD.C.3.4</t>
  </si>
  <si>
    <t>Value and Impact Assessment Report for Identified Open or Public Datasets.</t>
  </si>
  <si>
    <t>A value and impact assessment report for the identified open or public datasets to be published must be attached, which should include, at a minimum, the following:
• Results of evaluating the value and impact of the identified datasets to decide whether or not to publish them as Open Data.
• Risk assessment report for identified potential risks associated with publishing the open datasets.</t>
  </si>
  <si>
    <t>OD.C.3.2.2</t>
  </si>
  <si>
    <t>The Monitoring Report of OD Identification &amp; Prioritization Processes with Predefined KPIs.</t>
  </si>
  <si>
    <t>A report must be attached showing the OD Identification Process monitoring &amp; must be prepared based on predefined KPIs (Indicator Cards), Including the key performance indicator "Number of identified and prioritized open datasets”.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</si>
  <si>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OD.4.1 (KPI 2)</t>
  </si>
  <si>
    <t>OD.C.4.1.2</t>
  </si>
  <si>
    <t>The Continuous Improvement Report Showing the Documented Periodic Reviews &amp; Outcomes of the OD Identification Processes and the Implemented Automation.</t>
  </si>
  <si>
    <t xml:space="preserve"> The continuous improvement report must be attached proving the periodic reviews 
&amp; outcomes of the OD identification processes and the implemented automation 
processes based on the results of the KPI measurements and relevant updates and 
developments in the domain containing the following, at a minimum:
- The document of periodic reviews &amp; results which were 
documented for the OD identification processes and the 
implemented automations.
- The continuous improvement mechanisms of the OD identification 
processes and the implemented automations.
- The processes which were implemented &amp; automated to support 
OD identification.</t>
  </si>
  <si>
    <t>OD.M.14</t>
  </si>
  <si>
    <t>OD.MQ.3</t>
  </si>
  <si>
    <t>The Existing Practices for Publishing Open Datasets.</t>
  </si>
  <si>
    <t>A document must be attached, explaining:
 the current practices related to Publishing Open Datasets.</t>
  </si>
  <si>
    <t>OD.M.15</t>
  </si>
  <si>
    <t>The Defined Process Documentation for Publishing Open Data.</t>
  </si>
  <si>
    <t xml:space="preserve"> A document outlining the Open Data Publishing Process must be attached showing steps to ensure that datasets are published and maintained to their appropriate format, timeliness, comprehensiveness, and overall high quality and ensure the exclusion of any Confidential data.</t>
  </si>
  <si>
    <t>OD.M.16</t>
  </si>
  <si>
    <t>The Defined Process Documentation for Open Data Maintenance.</t>
  </si>
  <si>
    <t>A document outlining the Open Data Maintenance Process must be attached showing activities including, at a minimum the following:
• Regular update and documentation of changes to its published Open Datasets and associated metadata whenever changes occur.
• Continuous review of the published Open Datasets to ensure they meet the defined regulatory requirements.
• Maintenance of data traceability by documenting data provenance and maintaining versioning history of the datasets.
The process must be approved by the authorized person in the entity and be valid.</t>
  </si>
  <si>
    <t>OD.M.17</t>
  </si>
  <si>
    <t>Status Report on the Implementation of the Open Data Publishing Process.</t>
  </si>
  <si>
    <t>The report must be attached showing the implementation status of the open data publishing process.</t>
  </si>
  <si>
    <t>OD.M.18</t>
  </si>
  <si>
    <t>Evidences of Published Datasets on the Saudi Open Data Portal.</t>
  </si>
  <si>
    <t>The proof document should include the datasets published on the National Open Data Portal under the Open Data License in the Kingdom of Saudi Arabia, as outlined in the Open Data Policy issued by NDMO-SDAIA. For each dataset that’s currently published on the National Open Data Portal, the following must be documented, as a minimum:
• Name: The name of the open dataset.
• License data.
• Description: A brief description including its source and any related information.
• Size: The size in terms of the number of records or file size.
• Format: e.g.: CSV, JSON, or XML.
• Download Links: The download link.
• Publishing Date: The date the open dataset was first published.
• Update Date: The last update date.
• Usage and downloads statistics.</t>
  </si>
  <si>
    <t>OD.3.3</t>
  </si>
  <si>
    <t>OD.C.3.3.1</t>
  </si>
  <si>
    <t>Evidences of Feedback / Comments Received on OD.</t>
  </si>
  <si>
    <t>A document must be attached containing proofs that there were feedback comments on the open datasets. If there are no comments received, evidence of their absence must be attached. If there are no feedback/comments received, evidence of their absence must be attached.</t>
  </si>
  <si>
    <t>OD.M.19</t>
  </si>
  <si>
    <t>Evidence of formats used to standardize open datasets in machine readable form.</t>
  </si>
  <si>
    <t>A document must be attached showing the formats of the published open datasets, such as CSV, JSON, or XML, and instructions on how to use the open dataset according to its published format.</t>
  </si>
  <si>
    <t>OD.3.5</t>
  </si>
  <si>
    <t>OD.C.5.1</t>
  </si>
  <si>
    <t>Evidence of Data Standards 
Applied on Open Datasets to 
Ensure High Data Quality (DQ).</t>
  </si>
  <si>
    <t>A document must be attached that provides evidence of the standards applied to open data sets to ensure high data quality. The standards must include at least the following:  
• Data Completeness: The extent to which data records are complete.  
• Data Uniqueness: The extent of duplication of data records.  
• Data Timeliness: The extent to which data is current and available when needed.  
• Data Validity: The extent to which records comply with prescribed formats, types, and structures.  
• Data Accuracy: The extent to which data values correspond to true values.  
• Data Consistency: The extent to which data is consistent across all operations of the entity and across different sources.</t>
  </si>
  <si>
    <t>OD.M.20</t>
  </si>
  <si>
    <t>Open Data Maintenance Report.</t>
  </si>
  <si>
    <t>A report must be attached showing the Open Data maintenance process outcomes that include, at a minimum, the following:
• Periodic Data updates, and documentation of any changes made on the published open datasets and on the associated metadata (in the event of any changes.
• Ongoing reviews of published datasets to ensure that they meet the specified regulatory requirements.
• Evidence of data traceability by documenting data provenance and versioning history of the dataset.</t>
  </si>
  <si>
    <t>OD.3.6</t>
  </si>
  <si>
    <t>OD.C.3.6</t>
  </si>
  <si>
    <t>Open Data Register containing Records of Open Data Activities and Published Open Datasets.</t>
  </si>
  <si>
    <t>A document must be attached that includes the following, as a minimum:
• A record that includes artifacts related to Open Data Domain activities and decisions made during the data life cycle management.
• A record that includes a list of all open datasets, reviews, and changes associated with them and their metadata.</t>
  </si>
  <si>
    <t>OD.5.1</t>
  </si>
  <si>
    <t>OD.C.3.5</t>
  </si>
  <si>
    <t>The Monitoring Report of the OD Publishing Process with Predefined KPIs.</t>
  </si>
  <si>
    <t>The Entity must attach a report on monitoring the OD Publishing Processes based on predefined KPIs (Indicator Cards) including the following indicators, as a minimum:
• The number of downloads per published Open Dataset.
• The number of identified Open Datasets that have been published.
• The number of updates performed on published Open Datasets.
 Each indicator’s data or card must include the following, as a minimum:
• Indicator’s Name / Code.
• Indicator’s Owner.
• Indicator’s Coordinator.
• Indicator’s Description.
• The strategic / 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</si>
  <si>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OD.4.1 (KPIs: 1, 3, 4)</t>
  </si>
  <si>
    <t>OD.C.4.1.3</t>
  </si>
  <si>
    <t xml:space="preserve"> The Continuous Improvement 
Report of the OD Publication &amp; 
Maintenance Practices and 
outcomes.</t>
  </si>
  <si>
    <t xml:space="preserve"> The entity must attach the continuous improvement report of the OD publication &amp; maintenance practices and outcomes, based on the results of the KPI measurements and relevant updates and developments in the domain, containing the following:
• Documented periodic reviews and outcomes of open data maintenance and publishing practices.
• Mechanisms for continuous improvement of open data maintenance and publishing practices.
• Regular reviews and updates of published open data sets and their associated metadata to ensure compliance with the latest versions and standards.
• Documented changes to open data and metadata when necessary, to ensure transparency and clear tracking of modifications.
• Results of impact measurement for the published open data sets.</t>
  </si>
  <si>
    <t>OD.M.21</t>
  </si>
  <si>
    <t>Maturity Questions</t>
  </si>
  <si>
    <t>Domain</t>
  </si>
  <si>
    <t>ID</t>
  </si>
  <si>
    <t>Question</t>
  </si>
  <si>
    <t xml:space="preserve">Maturity Level per Question </t>
  </si>
  <si>
    <t>Level 0</t>
  </si>
  <si>
    <t>Level 1</t>
  </si>
  <si>
    <t>Level 2</t>
  </si>
  <si>
    <t>Level 3</t>
  </si>
  <si>
    <t>Level 4</t>
  </si>
  <si>
    <t>Level 5</t>
  </si>
  <si>
    <t>Absence of Capabilities</t>
  </si>
  <si>
    <t>Has the Entity established &amp; implemented a Data Management &amp; Personal Data Protection (DM &amp; PDP) Strategy and a DM &amp; PDP Plan with Key Performance Indicators (KPIs) that can be continuously measured to ensure optimization?</t>
  </si>
  <si>
    <t>No Data Management &amp; Personal Data Protection (DM &amp; PDP) strategy is in place.</t>
  </si>
  <si>
    <t>The Entity has existing DM practices that are not formalized (not approved).</t>
  </si>
  <si>
    <t>• A cross-Entity DM &amp; PDP strategy is defined for all DM Domains.
• DM Guiding principles have been developed.</t>
  </si>
  <si>
    <t>• The Entity developed a DM &amp; PDP plan based on the defined DM &amp; PDP strategy.
• The Entity is implementing this DM &amp; PDP plan which covers all DM Domains.</t>
  </si>
  <si>
    <t>The Entity is monitoring the DM &amp; PDP strategy &amp; plan implementation across all DM Domains with the pre-defined KPIs.</t>
  </si>
  <si>
    <t>• The DM &amp; PDP strategy is periodically updated, improved and optimized across all DM Domains.
• The DM &amp; PDP implementation plan is periodically reviewed and updated based on both the changes to the DM &amp; PDP strategy and the changing business requirements.</t>
  </si>
  <si>
    <t>Has the Entity established and implemented Data Management (DM) Policies, Standards and Guidelines across all Data Management (DM) Domains?</t>
  </si>
  <si>
    <t>No Data Management (DM) Policies, Standards or Guidelines are in place.</t>
  </si>
  <si>
    <t>• The Entity has existing DM-related policies and standards that are not formalized.
• The Entity conducted a gap analysis to identify the required DM and PDP policies to be developed</t>
  </si>
  <si>
    <t>The Entity developed policies, standards and guidelines for all DM Domains.</t>
  </si>
  <si>
    <t>The Entity is implementing the developed DM and PDP policies with defined processes and standards to establish governance, uniformity and manage compliance across the Entity.</t>
  </si>
  <si>
    <t>• The DM and PDP policies, standards and processes are tracked and measured based on the pre-defined KPIs.
• Periodic monitoring is conducted on the Entity's compliance with the Regulations published by NDMO-SDAIA.</t>
  </si>
  <si>
    <t>The DM and PDP policies, standards, DG processes and compliance with regulations are continuously reviewed and optimized.</t>
  </si>
  <si>
    <t>Has the Entity established and operationalized all roles required for the Data Management Organization as per the NDMO Controls &amp; Specifications?</t>
  </si>
  <si>
    <t>No formal/approved Data Management Organization structure is in place.</t>
  </si>
  <si>
    <t>The Entity established a Data Management Office with one or two roles only.</t>
  </si>
  <si>
    <t>The Entity "Data Management &amp; Data Governance Committee" (An internal executive committee) is established with a total of six roles (out of the DM Office roles) assigned &amp; operationalized for the Data Management Organization.</t>
  </si>
  <si>
    <t>• All DM roles are established as per the DM and PDP Standards and fully adopted across the Entity.
• Data Stewardship / Ownership defined across the Entity, in addition to providing business and technical support for critical Data systems &amp; critical Data elements.</t>
  </si>
  <si>
    <t>• The Data Management Organization &amp; the structure are fully established and operationalized.
• The roles are tracked through pre-defined KPIs, periodically updated and optimized.</t>
  </si>
  <si>
    <t>Data Management Organization (&amp; its structure) and Data stewardship (&amp; its structure) (Data owners, business and technical stewards) are periodically reviewed and updated.</t>
  </si>
  <si>
    <t>Has the Entity established and implemented practices for Change Management including awareness, communication, change control, and capability development?</t>
  </si>
  <si>
    <t>No formal Change Management practices are in place.</t>
  </si>
  <si>
    <t>• Awareness sessions, training courses and communication on DM-related practices are performed on a reactive and ad-hoc basis.
• The Entity has change control practices that are not formalized.</t>
  </si>
  <si>
    <t>• The Entity has defined Change Management practices.
• There is an Entity-wide awareness, training and communication plan.
• Change control practices are established to ensure coordinated efforts in managing changes on Data systems (implemented within the Entity).</t>
  </si>
  <si>
    <t>• The Entity is implementing the defined Change Management practices for all DM Domains.
• Formal communication channels are established and adopted for DM issues management, escalations, resolutions &amp; approvals.
• A Version control mechanism is defined and implemented for DM documents and artifacts that the Entity published.
• The DM &amp; PDP Strategy is being socialized and awareness is conducted across the Entity.</t>
  </si>
  <si>
    <t>The Entity is monitoring the progress and the effectiveness of the Change Management practices with pre-defined KPIs.</t>
  </si>
  <si>
    <t>Change Management practices for all DM Domains are periodically reviewed, and continuously updated, optimized &amp; developed.</t>
  </si>
  <si>
    <t>Metadata &amp; Data Catalog</t>
  </si>
  <si>
    <t>Has the Entity developed and implemented a plan to integrate and manage Metadata across the Entity?</t>
  </si>
  <si>
    <t>No plan is in place to integrate and manage Metadata in the Entity.</t>
  </si>
  <si>
    <t>The Entity manages its Metadata on a reactive and ad hoc basis.</t>
  </si>
  <si>
    <t>• The Entity developed a plan, an operating model and a structure for the implementation of Metadata and Data Catalog.
• The Metadata management structure should include the requirements to capture, integrate, populate, publish and utilize the required technology solution for the Entity's Metadata (business and technical).
• A roadmap is defined with a list of activities, required resources, and a budget to manage the Data Catalog and Metadata implementation.</t>
  </si>
  <si>
    <t>• The Entity is implementing the defined Metadata and Data Catalog plan and framework.
• This implementation includes the identification and prioritization of the critical systems and attributes.</t>
  </si>
  <si>
    <t>The Entity is monitoring the effectiveness of the Metadata and Data Catalog plan and activities with pre-defined Key Performance Indicators (KPIs).</t>
  </si>
  <si>
    <t>The Metadata and Data Catalog plan and activities are regularly monitored for continuous improvement and optimization.</t>
  </si>
  <si>
    <t>Has the Entity implemented a Metadata Management and Data Catalog tool / solution?</t>
  </si>
  <si>
    <t>No tools are in place to manage the Entity's Metadata.</t>
  </si>
  <si>
    <t>The Entity manages its Metadata manually or in standalone applications without standardized tools.</t>
  </si>
  <si>
    <t>• The Entity documented its requirements for the Data Catalog tool / solution and selected an appropriate tool based on business and regulatory requirements.
• The Entity's data sources to be included in the Data Catalog tool have been identified and prioritized.
• The Entity developed a target Metadata architecture.</t>
  </si>
  <si>
    <t>• The Data Catalog tool has been implemented and populated with the Entity’s Metadata.
• The tool is integrated into the Entity’s Metadata repository with appropriate access permissions.
• The tool stores the activities and tracking logs for Audit Trails.
• Power users are identified and trained on the Data Catalog tool usage.
• A training and communication plan is rolled out to raise awareness and adoption of the Data Catalog tool.
• The Data catalog automated tool is regularly updated to the latest version.</t>
  </si>
  <si>
    <t>• The Entity is monitoring changes to its Metadata through automated notifications.
• The adoption and usage of the implemented Data Catalog tool is closely monitored based on a set of pre-defined Key Performance Indicators (KPIs).</t>
  </si>
  <si>
    <t>• The Entity has fully automated end-to-end Metadata (Business, Technical, and Operational) capture and exchange.
• The Entity continuously monitors and optimizes the Data Catalog.
• The Entity continuously updates the Data Catalog in the event of any changes specified by the National Data Bank (NDB).</t>
  </si>
  <si>
    <t>Has the Entity defined and implemented formal processes for effective Metadata Management, such as: prioritization, population, access management, and quality issue management, etc., supported &amp; fostered by collaboration across the Entity?</t>
  </si>
  <si>
    <t>No process is in place to manage Metadata.</t>
  </si>
  <si>
    <t>The Entity manages the Metadata on a reactive and ad hoc basis 
(e.g. Projects / initiatives) without formalized practices.</t>
  </si>
  <si>
    <t xml:space="preserve"> • The Entity defined processes to manage the Metadata across the 
business and technical applications.
 • The Entity developed processes to prioritize, populate and 
manage the Metadata including access management, annotation, 
certification, and Metadata quality; by collaboration across the Entity.</t>
  </si>
  <si>
    <t xml:space="preserve"> • The Entity is implementing defined processes for end-to-end 
Metadata management.
 • The established processes for updating the Metadata are 
implemented and automated as workflows within the Data 
Catalog tool.
 • The Integrated Metamodel is deployed with role-based access.
 • The Metadata quality issues are identified and addressed. 
 • Full end-to-end Metadata is collected and enriched.
 • All the Data Governance and Data Management teams along with 
business stakeholders are engaged collaboratively through the 
automated tool.</t>
  </si>
  <si>
    <t>The Entity is monitoring and tracking the Metadata processes and activities with pre-defined Key Performance Indicators (KPIs).</t>
  </si>
  <si>
    <t xml:space="preserve"> • The Entity's Metadata management processes and practices are regularly monitored for continuous improvement and optimization. 
 • Optimization techniques are being utilized to improve the 
processes of developing taxonomies, ontologies, or semantic representations.</t>
  </si>
  <si>
    <t>Has the Entity developed and implemented a Data Quality (DQ) plan focused on improving the quality of the Entity's Data?</t>
  </si>
  <si>
    <t xml:space="preserve"> No formal Data Quality (DQ) plan is in place.</t>
  </si>
  <si>
    <t xml:space="preserve"> The Entity implements Data Quality activities on a reactive or ad hoc basis.</t>
  </si>
  <si>
    <t xml:space="preserve"> • The Entity has a defined and approved DQ management plan.
 • A roadmap is defined with a list of activities, required resources, 
and a budget to manage the DQ implementation.</t>
  </si>
  <si>
    <t xml:space="preserve"> • The Entity is implementing the defined DQ plan and roadmap.
 • Clear roles and responsibilities are defined for the DQ activities in line with the Data Management Organization structure.</t>
  </si>
  <si>
    <t>The Entity is monitoring the implementation of the DQ plan and activities with the pre-defined Key Performance Indicators (KPIs).</t>
  </si>
  <si>
    <t xml:space="preserve"> • The DQ plan and activities are regularly monitored for optimization and continuous improvement.
 • DQ Management is embedded in the Data Lifecycle and Software 
Development Lifecycle (SDLC).</t>
  </si>
  <si>
    <t>Has the Entity established / developed and implemented practices to manage and improve the quality of the Entity's Data?</t>
  </si>
  <si>
    <t xml:space="preserve"> No practices are in place for Data Quality (DQ).</t>
  </si>
  <si>
    <t xml:space="preserve"> • The Entity has existing DQ-related practices that are not 
formalized.
 • The identification of Data issues and the resolution activities are 
done on a reactive or ad hoc basis.</t>
  </si>
  <si>
    <t xml:space="preserve"> • The Entity prioritized Data elements based on the business 
requirements from the perspective of its importance for the DQ Management.
 • The Entity defined DQ Dimensions for the prioritized Datasets.
 • The Entity defined and documented DQ Rules including formats, mandatory fields, validations for Data-entry values.
 • The Entity established DQ issue management processes to 
identify and resolve the DQ issues.</t>
  </si>
  <si>
    <t xml:space="preserve"> • The Entity is implementing DQ Management.
 • An initial DQ assessment was conducted to identify DQ issues. 
Periodic DQ assessments are established to ensure the 
improvement on the Entity's DQ.
 • Data issues were identified, a root cause analysis was conducted 
and remediation activities were developed accordingly to correct 
the identified Data issues.
 • Standardized DQ Tools are implemented with automated 
workflows and defined DQ Rules.</t>
  </si>
  <si>
    <t xml:space="preserve"> • The Entity is monitoring the effectiveness of the DQ management practices with pre-defined KPIs.
 • The Entity is monitoring the agreed upon DQ threshold values 
with pre-defined SLAs.
 • The Entity is monitoring the effectiveness of the issue resolution process.</t>
  </si>
  <si>
    <t xml:space="preserve"> • Proactive profiling and critical Dataset identification are done 
using Advanced Artificial Intelligence / Machine Learning (AI/ML) based methods.
 • The DQ tools are continuously optimized to improve the DQ 
management processes.
 • Proactive remediation is done with proper monitoring of critical 
Data systems, Data entities (Data objects) and Data attributes.
 • The Entity implemented DQ Management industry standards or developed Entity-specific standards.</t>
  </si>
  <si>
    <t xml:space="preserve">Has the Entity established and implemented practices to monitor and report the Entity's Data Quality (DQ) status? </t>
  </si>
  <si>
    <t xml:space="preserve"> No practices are in place to monitor nor report on the quality of Data.</t>
  </si>
  <si>
    <t xml:space="preserve"> The Entity monitors its DQ on a reactive or ad hoc basis.</t>
  </si>
  <si>
    <t xml:space="preserve"> • The Entity defined and formalized DQ monitoring and reporting practices to maintain and document the DQ activities on a regular basis.
 • The Entity developed DQ processes and a plan for conducting DQ Audits at defined checkpoints.</t>
  </si>
  <si>
    <t xml:space="preserve"> • The Entity is monitoring the quality of its Data and documenting the quality status on a regular basis.
 • DQ reviews are conducted at the defined DQ Checkpoints.
 • A workflow for reporting DQ issues has been implemented on the Data Catalog automated tool.
 • The DQ Rules and the DQ Monitoring results are documented as the Metadata within the Data Catalog automated tool.</t>
  </si>
  <si>
    <t xml:space="preserve"> The Entity monitors the DQ trends and reporting activities based on pre-defined KPIs and established targets.</t>
  </si>
  <si>
    <t>The Entity conducts periodic reviews of the monitoring and reporting practices for continuous improvement in line with the 
changes in business and technical requirements.</t>
  </si>
  <si>
    <t xml:space="preserve">Has the Entity developed Data Quality (DQ) standards, provided definitions for its Datasets, and published / uploaded the definitions on the National Data Catalog (NDC)? </t>
  </si>
  <si>
    <t>No standards nor definitions are in place for the Entity's Datasets.</t>
  </si>
  <si>
    <t>The Entity defines its Datasets and DQ standards on an ad hoc / project basis.</t>
  </si>
  <si>
    <t>• The Entity has Data definitions and standards for a set of domains / attributes in line with the DQ Dimensions.
• The Entity identified and provided Metadata definitions for all Data attributes in line with the DQ definitions.
• The Entity identified the Datasets for which Metadata should be published on the National Data Catalog (NDC).</t>
  </si>
  <si>
    <t xml:space="preserve"> • The Entity has been on boarded on the NDC. The Entity populated the Metadata definitions on the NDC.
 • The Entity is developing and implementing standards independently for the Entity-specific domains / attributes.
 • The Entity uploads the Metadata on the NDC as required.</t>
  </si>
  <si>
    <t xml:space="preserve"> The Entity's Data definitions and Data standardization 
processes are reviewed and tracked through pre-defined KPIs.</t>
  </si>
  <si>
    <t xml:space="preserve"> • The standards are developed proactively for all the new and 
future systems. The standards are continuously improved across the Entity's Data systems.
 • Regular assessments are conducted to ensure that the standards and definitions are provided and implemented for the Entity's Datasets.</t>
  </si>
  <si>
    <t xml:space="preserve">Has the Entity developed and implemented a plan to manage and satisfy the needs of Data Operations, Data storage and Data retention? </t>
  </si>
  <si>
    <t>No plan is in place for Data Operations (DO), Data storage, Data retention and disaster recovery (DR).</t>
  </si>
  <si>
    <t>The Entity has existing practices for Data Operations, storage and 
retention. However, this plan is setup in a reactive form on an ad 
hoc basis.</t>
  </si>
  <si>
    <t xml:space="preserve"> • The Entity has a defined and approved Data Operations (DO) and storage plan and roadmap including:
 1- Data storage forecasting.
 2- Budget and resource allocation.
 3- Information systems prioritization.
 • This DO plan is in line with:
 1- The policy development.
 2- Tool selection.
 3- Business continuity.
 • Plans for backup and disaster recovery.</t>
  </si>
  <si>
    <t xml:space="preserve"> • The Entity is implementing its defined Data Operations (DO) plan.
 • The Entity assigned &amp; activated the roles and responsibilities to manage the DO, storage and retention in line with the business requirements and the overall "Data Management Organization" structure.
 • The Entity is reporting on the Database performance.
 • The Entity is conducting periodic forecasts of its storage capacity.</t>
  </si>
  <si>
    <t>The Entity is monitoring the progress and effectiveness of the Data Operations (DO) plan implementation with pre-defined Key Performance Indicators (KPIs).</t>
  </si>
  <si>
    <t xml:space="preserve"> The Entity's Data Operations (DO), storage, retention and recovery practices are continuously reviewed and optimized.</t>
  </si>
  <si>
    <t xml:space="preserve">Does the Entity have in place a defined methodology, processes and Standard Operating Procedures (SOPs) for Database operations? </t>
  </si>
  <si>
    <t>No practices nor processes are in place for Database management and operations.</t>
  </si>
  <si>
    <t xml:space="preserve"> • The Entity conducts Data Operations but not in a standardized approach.
 • Operations are being managed without clear procedures or with 
minimal documented procedures.</t>
  </si>
  <si>
    <t xml:space="preserve"> • The Entity has defined and developed practices and processes 
for Database operations management, monitoring and storage 
configurations including access control processes for the Databases. 
 • All roles and support levels are identified to manage the Database Operations.
 • Processes and Standard Operating Procedures (SOPs) are documented with clearly defined roles and responsibilities across the operations and the IT teams.
 • The Database Management System (DBMS) / tool is regularly updated to the latest version.
 • Service Level Agreements (SLAs) are developed to guide the Database operations.</t>
  </si>
  <si>
    <t xml:space="preserve"> • The Entity is implementing the defined Practices and Processes 
of Database operations management and Storage Configurations.
 • Under these Processes within the Entity, there are Standard Operating Procedures (SOPs) include:
 1- The Database performance monitoring and reporting.
 2- Role-based access control.
 3- Storage Configuration Management and DBMS versioning (Implementation of Database changes on the Production Environments).
 • The Standard Operating Procedures (SOPs) are activated:
 1- For all support levels,  communication, escalation &amp; resolution.  
2- With all the involved stakeholders.
 • All required Data Operations (DO) roles are activated and onboarded.
 • The Service Level Agreements (SLAs) and the Operational Level 
Agreements (OLAs) are enforced as agreed upon with business 
stakeholders.</t>
  </si>
  <si>
    <t xml:space="preserve"> Entity is monitoring the DO processes and SOP with pre_x0002_defined Key Performance Indicators (KPIs) and thresholds.</t>
  </si>
  <si>
    <t xml:space="preserve"> • DO and Storage practices and processes are continuously 
reviewed and optimized.
 • Leading DO practices are evaluated on a regular basis and adopted (e.g., DataOps).
 • All operational metrics covering SLAs / OLAs, and Key Performance Indicators (KPIs) / Key Quality Indicators (KQIs) are reviewed proactively to improve and optimize the operations.
 • Proactive / preventive measures are planned and executed to ensure uninterrupted operations.
 • All learning scenarios and experiences cases are documented 
and updated regularly to create a knowledgebase for reusability 
and future planning.</t>
  </si>
  <si>
    <t xml:space="preserve">Does the Entity have in place, practices and processes for Business Continuity such as backup and disaster recovery (DR) and a defined Business Continuity Plan (BCP) for the Data? </t>
  </si>
  <si>
    <t xml:space="preserve"> No plans, practices or processes are in place for business continuity such as backups and disaster recovery.</t>
  </si>
  <si>
    <t xml:space="preserve"> The Entity's Data backup and disaster recovery practices are reactive and on an ad hoc basis.</t>
  </si>
  <si>
    <t xml:space="preserve"> • The Entity has defined and developed plans, practices and processes for business continuity, Data backup, and disaster recovery in line with the DM and PDP standards. 
 • The Recovery Time Objective (RTO) and the Recovery Point Objective (RPO) for the critical systems are defined (e.g., backup frequency, location of backup files, storage medium and scope).</t>
  </si>
  <si>
    <t xml:space="preserve"> • The Entity is implementing its defined Business Continuity Plan 
(BCP), practices and processes for business continuity, Data 
backup and recovery.
 • The BCP is implemented for the critical systems.
 • Role-based access control for production data, all RTO / RPO 
details (High availability, load balancing, etc.) are agreed upon 
with Business and IT stakeholders and implemented.
 • The Incident response teams are activated.</t>
  </si>
  <si>
    <t xml:space="preserve"> The entity is monitoring the practices pertaining to the BCP and DR with pre-defined Key Performance Indicators (KPIs).</t>
  </si>
  <si>
    <t xml:space="preserve"> • The Entity continuously reviews Data storage backup &amp; recovery and disaster recovery processes for improvement and optimization.
 • The Entity performs periodic executions and validations of the RTO and RPO to ensure that the systems are well prepared for any unexpected interruption or calamity.
 • The BCP details are regularly reviewed to incorporate the learnings, modern trends and business needs / demands. </t>
  </si>
  <si>
    <t>Document &amp; Content Management</t>
  </si>
  <si>
    <t xml:space="preserve">Has the Entity developed a Document and Content Management (DCM) plan and a Digitization plan to manage the implementation of paperless management activities? </t>
  </si>
  <si>
    <t xml:space="preserve"> The Entity doesn’t have any plan in place currently for Document and Content Management (DCM).</t>
  </si>
  <si>
    <t>The Entity manages documents and content on a reactive or ad hoc basis without formalized DCM practices.</t>
  </si>
  <si>
    <t xml:space="preserve"> • The Entity has defined plans to manage the Entity's documents 
and content lifecycle and digitization activities. A roadmap has been defined with a list of activities, required resources, trainings, awareness and a budget to manage both DCM and Digitization.
 • The Entity has defined processes for prioritizing and digitizing documents to be stored in the Entity's Document Management System (DMS).
 • The Entity has identified and prioritized the key processes to be 
implemented as workflows in DMS to enable automated and paperless management of documents.</t>
  </si>
  <si>
    <t xml:space="preserve"> • The Entity is implementing its DCM plan and Digitization plan 
including training and awareness activities.
 • The Entity is prioritizing its documents to be stored in the 
Entity's Document Management System (DMS).
 • Roles and responsibilities are defined and initiated to manage 
the DCM activities and the Digitization activities in line with the 
overall "Data Management Organization" structure.</t>
  </si>
  <si>
    <t xml:space="preserve"> The Entity is monitoring the effectiveness of the DCM plan and the DCM Digitization plan with pre-defined Key Performance Indicators (KPIs).</t>
  </si>
  <si>
    <t xml:space="preserve"> The Entity continuously reviews and updates both its DCM plan and Digitization plan for improvement and optimization in line with the changing business needs.</t>
  </si>
  <si>
    <t xml:space="preserve">Has the Entity implemented policies and processes for Document and Content Management (DCM) including: Backup &amp; Recovery, Retention &amp; Disposal, Document &amp; Content Access Approval, and Metadata Publishing? </t>
  </si>
  <si>
    <t xml:space="preserve"> No policies and processes are in place currently for Document and Content Management (DCM).</t>
  </si>
  <si>
    <t xml:space="preserve"> The Entity manages its documents and content on a reactive and ad hoc basis without formalized DCM policies and processes.</t>
  </si>
  <si>
    <t xml:space="preserve"> • The Entity defined a clear set of policies and processes to 
manage its documents and content.
 • The Processes are defined for:
 1- Backup &amp; Recovery.
 2- Retention &amp; Disposal.
 3- Document and Content Access Approvals.
 4- Metadata Publishing.</t>
  </si>
  <si>
    <t xml:space="preserve"> • The Entity is implementing its DCM processes aligned with the policies.
 • The Document Management System (DMS) is included in the 
Entity's Backup &amp; Recovery plan.
 • Documents are transferred to the Entity's archival facility (Archival Register).
 • The physical destruction and deletion of the documents is done 
securely.
 • The Entity established role-based access authorizations to the Content Management System (CMS) and the Document Management System (DMS).
 • Document and content Metadata is published via an automated tool.
 • Periodic DCM audits are conducted to ensure that the right information is getting to the right people at the right time.</t>
  </si>
  <si>
    <t xml:space="preserve"> • The Entity is monitoring the DCM processes aligned with the policies with predefined Key Performance Indicators (KPIs).
 • The Audit Trail / Audit Framework is tracked based on predefined Key Performance Indicators (KPIs).</t>
  </si>
  <si>
    <t xml:space="preserve"> The Entity regularly reviews and updates its DCM processes for 
continuous improvement and optimization.</t>
  </si>
  <si>
    <t xml:space="preserve">Has the Entity implemented a tool to support Document and Content Management (DCM) processes including Digitization Management implementation? </t>
  </si>
  <si>
    <t xml:space="preserve"> No tools are in place currently for managing documents nor content.</t>
  </si>
  <si>
    <t xml:space="preserve"> The Entity manages documents and content in disparate applications.</t>
  </si>
  <si>
    <t xml:space="preserve"> The Entity identified and developed or acquired the required tool to support DCM.</t>
  </si>
  <si>
    <t>The Entity implemented the selected tool for Document and Content Management (DCM) which includes:
 1- A Document Management System (DMS).
 2- A Web Content Management System (CMS).
 3- A collaboration tool.</t>
  </si>
  <si>
    <t xml:space="preserve"> The Entity is monitoring the implementation of the tool based on 
pre-defined Key Performance Indicators (KPIs).</t>
  </si>
  <si>
    <t>For Continuous Improvement, the Entity regularly reviews:
 1- The performance of the implemented Digitization Management tool to ensure 
automation.
 2- The DCM activities to ensure optimization.</t>
  </si>
  <si>
    <t>Data Architecture &amp; Modelling</t>
  </si>
  <si>
    <t xml:space="preserve">Has the Entity developed and implemented a plan to improve its Data Architecture Capabilities? </t>
  </si>
  <si>
    <t>No plan is in place for Data Architecture &amp; Modelling (DAM).</t>
  </si>
  <si>
    <t xml:space="preserve"> The Entity manages its Data Architecture &amp; Modelling (DAM) related activities on a reactive and ad hoc basis without formalized practices.</t>
  </si>
  <si>
    <t xml:space="preserve"> • The Entity has a defined &amp; approved DAM Management plan.
 • The Entity developed an Entity-wide baseline current state and 
target future state Data Architecture in accordance with the Enterprise Architecture (EA).
 • The Entity performed a gap analysis resulting in an implementation roadmap with defined priorities.
 • The Entity adopted a Standard enterprise architecture framework.
 • The Entity published its DAM Policies &amp; Guidelines.</t>
  </si>
  <si>
    <t xml:space="preserve"> • The Entity is implementing the defined implementation roadmap 
for its Target State Data Architecture.
 • The IT architecture is ensuring all business architecture outcomes 
are addressed by selecting and implementing the right technical 
capabilities.
 • The Business Architecture team works closely with the Entity's 
Enterprise Architecture team to align the applicable Standards 
(e.g., DMBOK, TOGAF, etc.).</t>
  </si>
  <si>
    <t>The Entity is monitoring the effectiveness of the DAM Plan &amp; activities with pre-defined Key Performance Indicators (KPIs).</t>
  </si>
  <si>
    <t>• The Entity follows an identified architecture Change Management process to review, approve and implement the changes to the Current and / or Target State Data Architectures.
• The Entity continuously reviews the Target State Data Architecture via checkpoints incorporated into the Software Development Lifecycle (SDLC) process.
• The Entity regularly reviews and refines the Target State roadmap, priorities, and architecture artifacts, reflecting the current Enterprise Architecture strategy and key initiatives.</t>
  </si>
  <si>
    <t>Has the Entity developed and implemented practices for Data Architecture &amp; Modelling (DAM) activities (including Data Flows, Data Models and Governance considerations)?</t>
  </si>
  <si>
    <t>No practices are in place within the Entity for Data Architecture &amp; Modelling (DAM).</t>
  </si>
  <si>
    <t>• The Entity maps Data Flows to the business processes only on a reactive basis for specific projects / initiatives.
• Foundational Data Flows are identified, defined and designed but primarily driven by a project / an initiative.</t>
  </si>
  <si>
    <t>• The Entity has identified &amp; defined the requirements for developing a Data Lake environment.
• The Entity has defined a Partitioning Strategy for the target state data architecture.
• The Entity identified and mapped its Data Flows to the business processes.
• The Entity's Enterprise Data Model adopts a Standard diagramming method (e.g. UML) for documenting the structure, relationships and notations of business entities at the conceptual, logical and physical levels.
• The Entity stores in a register, its Data &amp; Technical Architecture projects, Reference documentation materials and Data Model designs.
• The end-to-end Data Modelling lifecycle is defined with required processes and best practices / guidelines such as naming conventions, Data types, physical model deployment considerations and optimizations, etc.</t>
  </si>
  <si>
    <t>• The Entity is implementing the defined practices for its DAM activities.
• Multiple Data integration and flow patterns are designed, published and are operating on defined Data architecture principles such as "Capture Once Use Many" etc.
• Structured and streamlined information flows across the Entity are done using the defined and published Data integration patterns.
• The Entity is implementing tools and technologies for DAM initiatives.
• Data Models are uploaded in the Data Catalog.
• The Logical Model is linked with business glossaries and technical attributes to provide end-to-end lineage and activate the impact analysis.
• The Entity's Enterprise Data Model is used throughout the Software Development Lifecycle (SDLC).
• The development is done via a Data Model tool.</t>
  </si>
  <si>
    <t>The Entity is monitoring the implementation of the DAM practices with pre-defined Key Performance Indicators (KPIs).</t>
  </si>
  <si>
    <t>• The mapping of the Entity's Data Flow to the Business processes is continuously monitored, measured, and improved including:
• Multi-latency, multi-format Data Flows &amp; Architecture Patterns defined, adopted, and mapped to the business processes.
• Entity-wide Data structures and Data services mapped to the business processes.
• Entity-wide Data structures and Data services shared in real-time.</t>
  </si>
  <si>
    <t>Data Sharing &amp; Interoperability</t>
  </si>
  <si>
    <t>Has the Entity developed and implemented a Data Sharing and Integration (DSI) Plan in line with the Data Sharing Policies?</t>
  </si>
  <si>
    <t>No plan is in place for Data Sharing nor Integration</t>
  </si>
  <si>
    <t>• The Entity shares Data on a reactive or ad hoc basis.
• Manual Data exchange practices exist within the Entity and with other Entities.
• A DSI practice and initial data integration assessment of the Entity's current state has been conducted to identify pain points and inefficiencies in the data transfer and the integration across the Entity.</t>
  </si>
  <si>
    <t>• A Target Data Integration Architecture was developed based on the identified pain points.
• The Entity has developed an integration strategy and implementation plan for data sharing and integration to remediate the identified pain points and manage the required integration initiatives.
• The Data Sharing policies and guidelines are defined for DSI within and outside the Entity in line with the Data Sharing Regulations published by NDMO-SDAIA.
• The Entity has developed a plan for training every employee involved in the Data Sharing initiatives.</t>
  </si>
  <si>
    <t>• The Entity is implementing The defined plan and roadmap for Data sharing and integration.
• Roles and responsibilities are assigned within The Entity to manage Data sharing requests and Data integration activities in line with both The Data Management Organization structure and The Data sharing regulations published by NDMO-SDAIA.
• The Entity is conducting Data sharing training in line with The Data sharing training plan.</t>
  </si>
  <si>
    <t>The Entity is monitoring the implementation of the DSI activities to ensure completion as per the plan with pre-defined Key Performance Indicators (KPIs).</t>
  </si>
  <si>
    <t>The DSI plan and the activities are continuously optimized to facilitate innovation and to maintain compliance with the Data Sharing Policies</t>
  </si>
  <si>
    <t>Has the Entity defined and implemented Processes for Sharing Data within the Entity and with other Entities?</t>
  </si>
  <si>
    <t>No processes are in place for sharing the Entity's Data internally nor externally.</t>
  </si>
  <si>
    <t>The Entity shares Data on a reactive or ad hoc basis within and outside the Entity with no formalized practices</t>
  </si>
  <si>
    <t>• The Entity defined and approved a standardized Data Sharing mechanism for sharing Data internally and externally according to the defined classification levels. The mechanism includes forms, processes and agreements to be used to manage the Data Sharing requests in line with the Data Sharing principles and regulation.
• Data Sharing request forms have been developed and are shared with Data requestors as needed.
• The Data Sharing agreements have been developed for Internal and External Data Sharing.</t>
  </si>
  <si>
    <t>• The Entity is implementing and operationalizing the defined and approved Data Sharing mechanism to facilitate Data Sharing within and outside the Entity.
• Data is shared with Entities only through SDAIA's certified and approved channels (e.g., The Government Service Bus (GSB), National Information Center Network, etc.).
• The Entity put in place controls to ensure that only the appropriate authority is allowed to access, obtain and use the shared Data based on the nature and sensitivity of the Data.
• All ongoing Data Sharing agreements are reviewed on a regular basis to accommodate for any changes.
• The Entity's official Government website has an established channel to manage Data Sharing requests.</t>
  </si>
  <si>
    <t>The entity is measuring the efficiency of Data Sharing activities, tracking progress, and ensuring compliance with pre-defined KPIs</t>
  </si>
  <si>
    <t>• The Entity's Data Sharing process is automated and updated frequently.
• Data Sharing practices are regularly reviewed and adjusted to address the changing business objectives while implementing continuous improvements.
• Data-as-a-service (DaaS) and Data products are developed and maintained proactively by the Entity.
• DSI is fully automated and scalable with full control on protection and privacy at the Entity level.</t>
  </si>
  <si>
    <t>Has the Entity defined and implemented a Data integration architecture to manage the Data movement efficiently across Data stores, systems, and applications?</t>
  </si>
  <si>
    <t>No practices in place to manage the Data movement across the entity's systems and applications</t>
  </si>
  <si>
    <t>The data movement across Data stores, systems, and applications is done on ad-hoc basis with no formal architecture</t>
  </si>
  <si>
    <t>• The Entity defines its business requirements for each initiative requiring data integration between Data stores, systems, and applications.
• The Entity develops a solution design document for each data integration initiative based on the target data integration architecture and the Integration Requirements Document.</t>
  </si>
  <si>
    <t>• The Entity is implementing the Data integration architecture following an integration solution development lifecycle for each data integration initiative.
• The entity performs testing of the developed integration solution before deployment to the production environment.
• Data sources are integrated through established and approved integration patterns.</t>
  </si>
  <si>
    <t>The Entity is monitoring the effectiveness of the integration initiatives with pre-defined KPIs.</t>
  </si>
  <si>
    <t>The Entity reviews the integration architecture regularly and optimizes the integrations practices by adopting cutting edge methodologies (e.g., Implementing Continuous Integration and Continuous Deployment (CI/CD) pipelines) to automate and streamline the improvement of the integration solution</t>
  </si>
  <si>
    <t>Has the Entity developed and implemented Data Sharing Controls and Processes for efficient Data transformation and movement?</t>
  </si>
  <si>
    <t>No controls or processes in place for data sharing or data transformation and movement</t>
  </si>
  <si>
    <t>The Entity implements controls for data sharing and moves data across applications on an ad-hoc basis without formalized controls or processes</t>
  </si>
  <si>
    <t>• The Entity has defined data sharing controls, processes and standards for Data transformation and Data movement across the Entity's applications.
• The Entity has conducted a risk assessment of DSI processes.
• The Entity has defined specific processes to classify, protect and support Data privacy.</t>
  </si>
  <si>
    <t>• The Entity is implementing defined processes for data transformation and movement (ETL/ELT), and controls for Data Sharing. This includes processes for integrating data from disparate sources and loading into Data Warehouse Store, and processes for storing unstructured data in its raw native format in the Data Lake.
• The Entity is implementing standards for Data development, transformation and movement across all applications.
• The Data security controls are implemented in line with the security controls published by the KSA's National Cybersecurity Authority (NCA).
• Appropriate controls are applied on the Datasets to be shared in line with the Data Sharing regulations and other relevant regulations (e.g., Personal Data Protection (PDP) etc.).</t>
  </si>
  <si>
    <t>The Entity is monitoring the effectiveness of the DSI controls, processes and standards with pre-defined KPIs.</t>
  </si>
  <si>
    <t>• The Entity continuously reviews its Data sharing and integration controls and practices for optimization by adopting advanced interoperability standards (e.g., Event driven, event sourcing, Data mesh, etc.).
• The transformed and merged Data is available upon request as a service (DaaS) for various transactions, reporting and analysis in the Entity for innovation (e.g., Data-driven transformation and products, etc.).
• Proactive periodic audits and reviews of the applications and systems are performed in an automated way.</t>
  </si>
  <si>
    <t>Reference &amp; Master Data Management</t>
  </si>
  <si>
    <t>Has the Entity developed and implemented a plan focused on improving its Reference &amp; Master Data (RMD) Management capabilities?</t>
  </si>
  <si>
    <t>The Entity doesn't have a plan in place for Reference &amp; Master Data (RMD) Management</t>
  </si>
  <si>
    <t>The Entity manages its Reference &amp; Master Data (RMD) on a reactive or ad hoc basis without formalized practices</t>
  </si>
  <si>
    <t>• The Entity has a defined and approved RMD Management plan.
• A roadmap is defined with a list of activities, required resources, trainings and a budget to manage the RMD plan implementation.</t>
  </si>
  <si>
    <t>• The Entity is implementing the defined RMD Management plan and roadmap.
• Clear roles and responsibilities are defined and activated for the RMD activities.
• Business and IT Data stewards are assigned in line with the "Data Management Organization" structure.
• Training is being conducted for all Entity's employees responsible for the management of its RMD as required in line with the change management practices.
• The RMD change request logs and the decisions are documented.
• The documented RMD Management initiatives registered in the statement of Architecture work are being implemented.</t>
  </si>
  <si>
    <t>The Entity is monitoring the effectiveness of the RMD Management plan and activities with pre-defined KPIs</t>
  </si>
  <si>
    <t>The Entity's RMD Management plan and activities are continuously reviewed and updated for optimization and improvement.</t>
  </si>
  <si>
    <t>Has the Entity defined and implemented processes to manage its Reference &amp; Master Data (RMD) objects from creation to archival?</t>
  </si>
  <si>
    <t>No processes are in place for Reference &amp; Master Data (RMD) management</t>
  </si>
  <si>
    <t>The Entity manages its RMD on a reactive or ad hoc basis (e.g.: Projects / initiatives) without formalized practices</t>
  </si>
  <si>
    <t>• The Entity has defined processes to manage its RMD objects across the business and technical applications.
• RMD requirements are documented in line with business needs.
• RMD objects are identified, prioritized, and categorized (Internal or External).
• Standards and rules for matching and merging Master Data Objects and Reference Datasets are defined.
• Processes are developed for the RMD lifecycle (Creation, modification, and archiving).
• Service Level Agreements (SLAs) are defined for the processes.</t>
  </si>
  <si>
    <t>• The Entity is implementing its RMD Management Processes.
• Match and Merge, survivorship rules for Master Data Objects are embedded in the Data transformation rules and implemented on the Entity's Data applications.
• Rules for standardized Reference Data are embedded in the Entity's Data applications and managed centrally.</t>
  </si>
  <si>
    <t>The Entity is monitoring the processes for managing the RMD Objects across the Data lifecycle with pre-defined KPIs</t>
  </si>
  <si>
    <t>The Entity's RMD Management Processes and Standards are continuously monitored for optimization and improvement</t>
  </si>
  <si>
    <t>Has the Entity implemented a Data Hub (or Tool) as the trusted Data source to support the RMD Management Processes?</t>
  </si>
  <si>
    <t>No tools are in place for managing the Reference &amp; Master Data (RMD).</t>
  </si>
  <si>
    <t>The Entity manages its RMD within standalone Data sources without standardized tools</t>
  </si>
  <si>
    <t>• The Entity identified The required Hub / Tool for RMD Management based on business and technical requirements.
• a suitable Data Hub architecture implementation pattern is agreed upon and The Data Hub design is developed.
• a conceptual and information architecture is developed based on The selected Data Hub architecture Design.
• RMD models and architectures are developed.
• RMD Hub / Tool technical requirements are documented based on The defined target RMD information Architecture.</t>
  </si>
  <si>
    <t>• The Entity implemented the selected Data Hub for RMD Management and is operating the hub as the Trusted Source of RMD across the Entity.
• The implemented Data Hub is flexible to accommodate new Data sources and to support workflow capabilities and customizations (e.g., Data localization, privacy, consent management, hierarchy management, and exception processing and automated alert capabilities).</t>
  </si>
  <si>
    <t>The Entity is monitoring the adoption and usage of the implemented Data Hub with the pre-defined KPIs.</t>
  </si>
  <si>
    <t>The Entity continuously inspects the implemented Data Hub to:
• Ensure full coverage of all new and updated Data sources.
• Ensure that all deployed tools and technologies are regularly optimized.
• Ensure that the level of automation increased based on industry and global trends.
• A centralized Hub / Tool is developed being the Trusted Data Source wherein all the RMD Objects are hosted and maintained.</t>
  </si>
  <si>
    <t>Business Intelligence &amp; Analytics</t>
  </si>
  <si>
    <t>Has the Entity developed and implemented a plan to manage and orchestrate its Business Intelligence &amp; Analytics (BIA) activities?</t>
  </si>
  <si>
    <t>No formal Business Intelligence &amp; Analytics (BIA) plan is in place.</t>
  </si>
  <si>
    <t>The Entity implements BIA activities on a reactive or ad hoc basis.</t>
  </si>
  <si>
    <t>• The Entity has a defined and approved BIA plan based on the overall Data Management (DM) strategy.
• A roadmap is defined with a list of activities, required resources and budget to manage the BIA implementation.</t>
  </si>
  <si>
    <t>• The Entity is implementing the defined &amp; approved BIA plan &amp; roadmap.
• Clear roles and responsibilities are defined for the BIA activities in line with the Data Management Organization structure.</t>
  </si>
  <si>
    <t>The Entity is monitoring the effectiveness of the BIA plan and activities with pre-defined Key Performance Indicators (KPIs).</t>
  </si>
  <si>
    <t>The BIA plan and activities are continuously reviewed and updated for optimization and improvement.</t>
  </si>
  <si>
    <t>Has the Entity identified BIA use cases and defined a plan for the use case implementation?</t>
  </si>
  <si>
    <t>No defined BIA use cases are identified within the Entity.</t>
  </si>
  <si>
    <t>The Entity identifies and implements BIA use cases on ad hoc basis or for specific projects and initiatives.</t>
  </si>
  <si>
    <t>• The Entity has identified and prioritized its BIA use cases using a defined prioritization framework.
• Shortlisted use cases have been documented in a detailed BIA Use Case Portfolio document.
• An Implementation plan has been developed for each shortlisted and approved use case with implementation priorities based on the Entity's defined use case implementation approach.
• A use case validation process has been developed.</t>
  </si>
  <si>
    <t>• The Entity is implementing and validating The prioritized use cases in order to transform The Entity into a Data-driven organization.
• The new use cases are evaluated and implemented based on The business requirements.
• The implemented BIA use cases and their final outcomes are documented in a register.</t>
  </si>
  <si>
    <t>• The Entity is evaluating / monitoring the performance of analytical models and business impacts of implemented use cases with pre-defined Key Performance Indicators (KPIs).
• The Technical or Business impacts and the Return on Investment (ROI) from the use cases are monitored with pre-defined KPIs.</t>
  </si>
  <si>
    <t>• The Entity's activated and implemented BIA use cases are regularly reviewed and optimized.
• The potential impact, competitive advantage, Total Cost of Ownership (TCO) and Return on Investment (ROI) are continuously reviewed and updated with a defined calculation methodology.</t>
  </si>
  <si>
    <t>Has the Entity defined and implemented practices to manage and govern the BIA processes?</t>
  </si>
  <si>
    <t>No practices are in place for BIA</t>
  </si>
  <si>
    <t>• The Entity manages its BIA processes on a reactive or ad hoc basis without formalized practices.
• Reporting is done either on direct source systems; or different Data Marts are developed based on the business needs with no semantic relationship / link among them.
• The BIA Governance focuses only on the requirements of the projects.
• The DQ issues are resolved during the Data population for BI by the BI team.</t>
  </si>
  <si>
    <t>• The Entity has defined formal BIA practices including the development of processes for a Data warehouse or a Data Lake with logical models in place to model the business functions.
• A Semantic layer is developed and maintained for supporting BI and Advanced Analytics use cases.
• The Entity is developing a change management plan including training programs, awareness campaigns and a release management process to guide the publishing mechanism of reports, dashboards and implemented uses cases.</t>
  </si>
  <si>
    <t>• The Entity is implementing the defined BIA processes and practices which are established to govern BIA activities.
• Self-service analytics are fully activated covering both BI &amp; AI/ML.
• Business users have full access to all types of Data (Raw, Processed, Modelled) in a governed manner.
• End-to-end governance is in place covering emerging topics such as AI ethics, etc.
• Advanced Analytics (AI/ML) governance and management (AI/ML OPs) foundational processes are in place operationally.
• A central Data Science &amp; BIA team has been set up with defined roles and responsibilities.
• The central Data Science &amp; BIA team has a clear process flow to handle the Entity's BIA needs.
• BIA training courses are conducted for all employees involved in the BIA initiatives to upskill the analytics capabilities; and awareness campaigns are conducted to promote the awareness, education &amp; adoption of the BIA capabilities.</t>
  </si>
  <si>
    <t>The Entity is monitoring BIA processes, governance and the performance of the centralized BI team with pre-defined Key Performance Indicators (KPIs).</t>
  </si>
  <si>
    <t>• The Entity created a BI Competency center including the required roles, skills &amp; capabilities to fulfil all BI requirements.
• The Entity created a BI Competency center which is governing the Entity's BI management including the demand management and change management.
• The performance of the BIA team is continuously reviewed, measured and optimized.
• The BIA Capacity planning is reviewed regularly and fulfilled to support the growing demand.</t>
  </si>
  <si>
    <t>Has the Entity implemented the right tools, technologies, and skills to empower users and support the implementation of the BIA use cases?</t>
  </si>
  <si>
    <t>No technology for BIA is in place. The reporting is done Manually.</t>
  </si>
  <si>
    <t>The Entity implements its BIA activities on an ad hoc basis or individual applications without formalized tools</t>
  </si>
  <si>
    <t>• The Entity selected standardized tools to develop standard analytics artifacts (reports and dashboards).
• The Business and IT stakeholders collaborate to develop, enhance and maintain the Semantic Layer.</t>
  </si>
  <si>
    <t>• The Entity selected and implemented tools and technologies that are being adopted across the Entity.
• The Entity has self-service advanced analytics (Data discovery, wrangling, statistical analysis, etc.) and collaborative Artificial Intelligence / Machine Learning (AI / ML) using a low-code / no-code environment.
• Users have the choice of a unified interface in their workflows by using:
• Tools.
• Programming Languages (e.g., Python, R, Go, etc.).
• Platforms (e.g., Anaconda, Jupiter, etc.).
• Libraries (e.g., Pandas, Numpy, etc.).
• Project documentation is managed centrally and shared across the Entity.
• Common AI / ML Models are versioned and documented through the tools.
• Users have the ability to reuse those AI / ML Models in developing new BI Analytics &amp; Models.</t>
  </si>
  <si>
    <t>The Entity is monitoring the adoption and utilization of the BIA tools and technologies with pre-defined Key Performance Indicators (KPIs).</t>
  </si>
  <si>
    <t>• New technologies are regularly evaluated, tested, and introduced to keep the capabilities aligned with the future needs.
• Advanced frameworks are used (e.g., Spark, TensorFlow, PyTorch, etc.) and integrated with their unified AI/ML environment.
• Advanced capabilities such AI/ML engineering tools and features are used for complex processing and reusability.
• Tools and technologies which use AI/ML OPs are practiced to manage the end-to-end AI/ML lifecycle.</t>
  </si>
  <si>
    <t>Data Value Realization</t>
  </si>
  <si>
    <t>Has the Entity developed a plan to identify, document and realize its Data revenue generation potential and implement Data-related cost optimization initiatives and use cases?</t>
  </si>
  <si>
    <t>• No plan is in place to generate value from Data nor implement Data-related cost optimization initiatives.
• No use cases are identified for Data revenue generation nor Data-related cost optimization.</t>
  </si>
  <si>
    <t>The Entity has existing practices for Data Value Realization (DVR), Data-related cost optimization and identification of use cases, however, this is done in a reactive or ad hoc basis without formalized DVR practices.</t>
  </si>
  <si>
    <t>• The Entity has a defined and approved plan to identify, document and realize value from its Data through revenue generation initiatives and Data-related cost optimization initiatives.
• The Entity identified use-cases for revenue generation and cost optimization based on the guidelines for ethical use cases.
• The Entity estimated and projected a Payback period and Return on Investment (ROI) for each identified use case.
• Roles and responsibilities to support the DVR implementation have been identified and documented.</t>
  </si>
  <si>
    <t>• The Entity is implementing its DVR plan through use-cases for revenue generation and cost optimization.
• Roles and responsibilities for DVR use-case implementations are activated in line with the Data Management Organization structure.
• The Entity is maintaining the DVR use cases.</t>
  </si>
  <si>
    <t>The Entity is monitoring the efficiency of the plan implementation and DVR activities with pre-defined Key Performance Indicators (KPIs) in line with the “DM and PDP Standards” document.</t>
  </si>
  <si>
    <t>The DVR plan implementation is regularly reviewed and optimized to ensure continuous improvement.</t>
  </si>
  <si>
    <t>Has the Entity implemented practices to support a Data revenue generation process?</t>
  </si>
  <si>
    <t>No processes are in place for use cases of both: Data revenue generation and cost optimization.</t>
  </si>
  <si>
    <t>The Entity has not implemented a formalized process for Data revenue generation, however, this is done in a reactive or ad hoc basis.</t>
  </si>
  <si>
    <t>The Entity has a defined, documented, and approved process for Data revenue generation covering the details of:
• The selection of a pricing schema model.
• The calculation of the total cost.
• Aligning the adopted charging model in line with the business needs.</t>
  </si>
  <si>
    <t>• The Entity is implementing the defined process of Data revenue generation.
• For each Data revenue generation request, the Entity submits the required documentation to NDMO-SDAIA.
• For each Data or Data Product that the Entity is expecting to generate revenue from, the Entity submits a revenue generation request to NDMO-SDAIA.</t>
  </si>
  <si>
    <t>The Entity is monitoring the efficiency of the Data revenue generation process with pre-defined KPIs.</t>
  </si>
  <si>
    <t>The Revenue Generation Process is regularly reviewed and optimized to ensure continuous improvement.</t>
  </si>
  <si>
    <t>Has the Entity defined, established, and implemented a plan to identify and coordinate the publishing of its Open Datasets?</t>
  </si>
  <si>
    <t>No Open Data (OD) plan is in place.</t>
  </si>
  <si>
    <t>The Entity has existing practices to maintain OD, but these practices are not formalized.</t>
  </si>
  <si>
    <t>• The Entity has defined an OD plan and framework.
• OD Management structure is in place and a change management plan has been developed to conduct training on OD activities and awareness campaigns.</t>
  </si>
  <si>
    <t>• The Entity is implementing the activities on the defined Open Data plan including training &amp; awareness programs.
• An annual report on the Open Data plan &amp; progress is submitted to NDMO-SDAIA.
• The Entity appointed the following roles in line with the Data Management Organization:
◦ Open Data &amp; Information Access Officer (ODIAO) to lead the Open Data activities within the Entity.
◦ Business Data Executive (BDE).
◦ Business Data Steward.</t>
  </si>
  <si>
    <t>The Entity is monitoring the effectiveness of the Open Data activities plan with pre-defined Key Performance Indicators (KPIs).</t>
  </si>
  <si>
    <t>The Open Data plan is revised &amp; optimized for continuous improvement.</t>
  </si>
  <si>
    <t>Has the Entity defined, established, and implemented a process to support the identification of Open Data (OD)?</t>
  </si>
  <si>
    <t>No existing process is in place to identify Open Data (OD) within the Entity.</t>
  </si>
  <si>
    <t>Open Data identification practices are performed on a reactive or ad hoc basis, without formalized OD practices.</t>
  </si>
  <si>
    <t>• The Entity has developed and documented processes required to manage the lifecycle of Open Data.
• In alignment with the Open Data Policy, the Entity defined a process to identify public Datasets to be published including a mechanism to evaluate all Data classified as “Public Data” to determine whether to be published as OD or not.</t>
  </si>
  <si>
    <t>• The Entity is implementing the defined processes for identifying the Datasets to be published.
• The Entity is evaluating the identified datasets in terms of value whilst also conducting risk assessment to ensure there will be no security or privacy threats when published.
• The Identified Open Datasets are being aligned with the regulations published by NDMO-SDAIA.
• The Entity has identified &amp; documented metadata of the Entity's open datasets.</t>
  </si>
  <si>
    <t>The Entity is monitoring the effectiveness of the implemented processes of identifying Open Datasets with pre-defined KPIs.</t>
  </si>
  <si>
    <t>The Entity is conducting continuous improvement, enabled by automated processes to support OD identification.</t>
  </si>
  <si>
    <t>Has the Entity defined, established, and implemented a process to support publishing its Open Datasets?</t>
  </si>
  <si>
    <t>No existing process are in place for managing Open Datasets within the Entity.</t>
  </si>
  <si>
    <t>Open Data (OD) is shared on a reactive or ad hoc basis.</t>
  </si>
  <si>
    <t>• The Entity has defined a process to manage the publishing of Open Datasets as part of the documented Open Data processes.
• The Entity has defined a process to regularly review, update and document changes to its published Open Datasets and associated metadata to ensure they meet defined regulatory requirements.</t>
  </si>
  <si>
    <t>• The Entity is implementing the defined process for publishing Open Data by collaborating with National Information Center (NIC) in SDAIA to publish the Open Datasets on the Saudi Open Data Portal under the KSA Open Data License.
• The Entity utilizes standardized formats when publishing its datasets that are in machine-readable form.
• The Entity ensures that the open datasets are published in high quality to ensure fitness for use.
• The Entity is updating the published open datasets and the associated Metadata and maintaining data traceability and versioning history of the open datasets.
• The Entity is documenting in a register its identified open datasets and activities.</t>
  </si>
  <si>
    <t>The Entity is monitoring the effectiveness of the Open Data processes with pre-defined KPIs, covering:
1. The number of downloads per published Open Dataset.
2. The number of defined, identified and prioritized Open Datasets.
3. The number of identified Open Datasets that have been published.
4. The number of updates performed on published Open Datasets.</t>
  </si>
  <si>
    <t>• The Entity is conducting continuous improvement to support the defined OD publishing processes to ensure optimization.
• The published Open Datasets and the associated Metadata are regularly reviewed and updated to the newest version.
• The OD and the associated Metadata changes are documented where necessary.</t>
  </si>
  <si>
    <t>Has the Entity defined and established a plan to address its compliance with the requirements of the Freedom of Information (FOI) Regulations?</t>
  </si>
  <si>
    <t>No plan is in place to address the Freedom of Information (FOI) regulations within the Entity.</t>
  </si>
  <si>
    <t>The Entity has existing FOI practices in place to address its compliance with the FOI Regulations without formalized practices.</t>
  </si>
  <si>
    <t>• The Entity has a defined and approved FOI plan.
• A roadmap is defined with a list of activities, required resources, training courses &amp; awareness campaigns, and a budget to manage the FOI plan implementation.</t>
  </si>
  <si>
    <t>• The Entity is implementing the defined plan to manage FOI requests.
• The Entity is publishing on its official Government website with a feedback mechanism for questions or issues raised.
• The Entity appointed an Open Data &amp; Information Access Officer (ODIAO) to manage the Entity's compliance with the FOI regulations in line with the "Data Management Organization" structure.
• The Entity launched awareness campaigns to promote and enhance the culture of transparency and to raise awareness of the FOI regulations published by NDMO-SDAIA.</t>
  </si>
  <si>
    <t>• To comply with the FOI Regulations, the Entity is monitoring the effectiveness of the plan established with pre-defined Key Performance Indicators (KPIs).
• The Entity is conducting periodic audit and review processes on the compliance with FOI regulations published by NDMO-SDAIA.</t>
  </si>
  <si>
    <t>The Entity's FOI plans and practices are continuously reviewed and optimized.</t>
  </si>
  <si>
    <t>Has the Entity defined and implemented the required processes for Freedom of Information (FOI)?</t>
  </si>
  <si>
    <t>No existing practices are in place for Freedom of Information (FOI) within the Entity.</t>
  </si>
  <si>
    <t>The Entity responds to FOI requests on a reactive and ad hoc basis.</t>
  </si>
  <si>
    <t>• The Entity has defined processes to manage FOI requests (including response processes and appeal / denial processes) in alignment with the National Data Governance Regulations.
• The Entity has developed end-to-end processes, steps and Frequently Asked questions (FAQs) for acquiring information from the official Gov portal / website.</t>
  </si>
  <si>
    <t>• The Entity is implementing the defined processes and practices for FOI Regulatory Compliance to ensure adoption across the Entity.
• The Entity is publishing on the official portal / website, the end-to-end process guide and the FAQs required for acquiring the information.
• An FOI Request Management process is activated across the Entity, including access and appeal / denial practices.
• The Entity has a record keeping system which is regularly updated on the FOI Register.
• The Entity adopted a pricing scheme for Public Information Access Requests.</t>
  </si>
  <si>
    <t>The Entity is monitoring the completeness and performance of the FOI processes with pre-defined KPIs.</t>
  </si>
  <si>
    <t>• The Entity continuously reviews &amp; optimizes FOI processes &amp; practices.
• The FOI request responding process is automated.</t>
  </si>
  <si>
    <t>Has the Entity established a plan for Data Classification (DC) as stipulated by the Data Management and personal Data protection (DM &amp; PDP) standards?</t>
  </si>
  <si>
    <t>No plan for Data Classification (DC) is in place.</t>
  </si>
  <si>
    <t>The Entity has existing DC practices which are not formalized.</t>
  </si>
  <si>
    <t>The Entity defined a plan for DC to manage and orchestrate its DC activities.</t>
  </si>
  <si>
    <t>The Entity has implemented the defined DC plan and roadmap on all approved Datasets/artifacts.</t>
  </si>
  <si>
    <t>The Entity is monitoring the effectiveness of the DC plan &amp; activities with the pre-defined Key Performance Indicators (KPIs).</t>
  </si>
  <si>
    <t>The DC plan &amp; activities are continuously reviewed &amp; updated for optimization &amp; improvement.</t>
  </si>
  <si>
    <t>Has the Entity defined, identified and implemented the required Data Classification (DC) processes?</t>
  </si>
  <si>
    <t>No existing processes for Data Classification (DC) are in place within the Entity.</t>
  </si>
  <si>
    <t>Existing DC activities are performed on a reactive or ad hoc basis.</t>
  </si>
  <si>
    <t>• The Entity developed a prioritization framework to classify its Datasets.
• The Entity developed a framework for conducting the impact assessment.
• The Entity defined Data handling Data protection Controls for the Datasets and artifacts.
• The Entity defined &amp; identified the DC levels in line with the DM and PDP standards.
• The Entity defined a process for identification and inventory of its Datasets and artifacts</t>
  </si>
  <si>
    <t>• The Entity is identifying and maintaining an inventory of all datasets and artifacts owned by the Entity.
• The Entity is conducting prioritization based on the identified Datasets.
• The Entity is conducting an impact analysis to assess any potential damage of unauthorized access to its identified Datasets and assigning the defined DC levels in line with the DM and PDP standards.
• The Entity is conducting an impact analysis for data classified as low impact.
• The Entity is implementing the defined Data Handling and Protection Controls based on the classification level for the Datasets/artifacts.
• The Entity is assigning Data access rights and privileges across the Entity.
• The Entity is maintaining a register of all identified datasets and artifacts.</t>
  </si>
  <si>
    <t>The Entity is monitoring the effectiveness of the DC processes with pre-defined KPIs.</t>
  </si>
  <si>
    <t>• The Entity is continuously improving the process for DC.
• Innovative solutions and tools are explored to proactively scan and prioritize the classification of Data.</t>
  </si>
  <si>
    <t>Has the Entity reviewed all its classified Datasets and artifacts to ensure that the classification levels assigned to them are the most appropriate ones as specified by the Data Classification (DC) Policies?</t>
  </si>
  <si>
    <t>No existing Data Classification (DC) review processes are in place.</t>
  </si>
  <si>
    <t>Existing DC review activities are on a reactive or ad hoc basis.</t>
  </si>
  <si>
    <t>The Entity defined a review mechanism for all classified Datasets and artifacts to be reviewed.</t>
  </si>
  <si>
    <t>• The Entity is implementing the defined mechanism for DC reviews for the classified Datasets and artifacts across the Entity.
• The Entity is publishing on the Data Catalog the DC levels for the reviewed Datasets and artifacts as Metadata.</t>
  </si>
  <si>
    <t>The Entity is monitoring the DC review mechanism with pre-defined KPIs.</t>
  </si>
  <si>
    <t>The Entity is continuously improving its DC review process to ensure optimization.</t>
  </si>
  <si>
    <t>Personal Data Protection</t>
  </si>
  <si>
    <t>Has the Entity performed an initial Personal Data Protection (PDP) assessment and developed a plan to address the strategic and operational Privacy requirements?</t>
  </si>
  <si>
    <t>• No assessment is done for Personal Data Protection (PDP).
• No plan is in place to address Data Privacy requirements.</t>
  </si>
  <si>
    <t>• The Entity is aware of the requirements for Data Privacy Management.
• The Entity conducted an initial PDP Assessment to evaluate the current state of the Entity's PDP practices, identified gaps against business and regulatory obligations including the following:
1. Identification of the types of personal data being collected.
2. Location &amp; method of personal data storage.
3. Current processing &amp; uses of the personal data.
4. Privacy challenges to meet compliance with the PDP Regulations published by NDMO-SDAIA.</t>
  </si>
  <si>
    <t>The Entity developed a plan to address the Strategic and Operational Data-Privacy requirements, including a list of activities, required resources, training courses and a budget.</t>
  </si>
  <si>
    <t>• The Entity is implementing the defined PDP &amp; Data Privacy program in a formalized manner.
• This program includes implementing activities which ensure the proactive identification and resolution of potential Privacy issues and risks including training and awareness for all employees to promote a Personal Data Protection-centric culture.</t>
  </si>
  <si>
    <t>The Entity is monitoring the effectiveness of the PDP plan with pre-defined Key Performance Indicators (KPIs).</t>
  </si>
  <si>
    <t>The Entity periodically reviews its PDP plan to ensure sustained compliance with the applicable regulations, and other environmental requirements or impacts.</t>
  </si>
  <si>
    <t>Has the Entity defined and implemented Privacy policies and processes for Personal Data including Data breach identification, consent management, Data subject rights, and Privacy risk assessments?</t>
  </si>
  <si>
    <t>No practices are in place to identify and address Data breaches nor Privacy violations.</t>
  </si>
  <si>
    <t>• The Entity identifies Data breaches or Privacy violations on a reactive basis without standardized practices nor policies.
• The Entity addresses violations when ad hoc Data Privacy interventions occur.</t>
  </si>
  <si>
    <t>• The Entity has developed policies and processes for PDP and Data Privacy including the identification of Data breaches, Data Privacy considerations, privacy notice &amp; consent management, and compliance management to comply with the applicable regulations.
• Governance has been defined to manage compliance with the PDP regulations in line with the Data Management Organization structure.
• The Entity has defined a process for Data Subjects' rights management.</t>
  </si>
  <si>
    <t>• The Entity is implementing and standardizing the developed and approved practices for PDP including the Consent Management Workflow, notifications to regulatory authority as required and data breach management.
• The PDP policies and standardized processes for data subjects rights have been published on the Entity's official government website with a feedback mechanism for questions or issues raised by the data subjects.
• The Entity maintains a register of its compliance records including records of any collection and / or processing of any Personal Data (e.g. Identified Data breaches, etc.). The register is made available to regulators as required.</t>
  </si>
  <si>
    <t>• The Entity is monitoring The effectiveness of its PDP practices and compliance with The rules &amp; regulations through pre-defined KPIs.
• The Entity is conducting periodic audits on compliance with PDP rules &amp; regulations.</t>
  </si>
  <si>
    <t>• The Entity continuously reviews its PDP practices to ensure sustained compliance with regulations.
• Continuous improvement, enabled by automation &amp; change management, is performed in line with the defined regulatory requirements.</t>
  </si>
  <si>
    <t>Specification</t>
  </si>
  <si>
    <t>Description</t>
  </si>
  <si>
    <t>Compliance Level</t>
  </si>
  <si>
    <t xml:space="preserve">Data Governance </t>
  </si>
  <si>
    <t>Data Management and Personal Data Protection Strategy</t>
  </si>
  <si>
    <t>The Entity shall establish a Data Management and Personal Data Protection Strategy to align Entity data initiatives and relevant stakeholders to achieving its business goals, in alignment with the overall program strategy. The Strategy shall cover all domains and reflect:
1. Current data management challenges
2. Strategic requirements covering internal requirements derived from the Entity's business strategy as well as external requirements derived from the National Data Management Agenda
3. Data Management and Personal Data Protection Vision, Mission and Strategic Goals and Objectives
4. Strategic and Operational performance metrics with targets across the 3 to 5 years strategy duration
5. Required financial budget for the implementation of the strategy, broken down by initiatives.</t>
  </si>
  <si>
    <t>Guiding Principles</t>
  </si>
  <si>
    <t>The Entity shall adopt the National Data Management and Personal Data Protection Program's Guiding Principles to affirm alignment of the Entity's Data Management and Personal Data Protection Strategy to the National Data Management and Personal Data Protection agendas. The Entity may, at its discretion, include additional Entity-level guiding principles to augment the core set of NDMO Guiding Principles.
Adoption of the National Data Management and Personal Data Protection Program's Guiding Principles shall be articulated either in the Data Management and Personal Data Protection Strategy or as a standalone document.
The guiding principles establish a data-centric culture where all stakeholders are unified in understanding what is most important for the Entity's Data Management and Personal Data Protection agendas.</t>
  </si>
  <si>
    <t>Data Management and Personal Data Protection Plan</t>
  </si>
  <si>
    <t>Based on the Entity’s defined Data Management and Personal Data Protection Strategy, the Entity shall develop a Data Management and Personal Data Protection Plan with a 3-year implementation roadmap. The implementation roadmap shall include, at minimum, the following:
1. Initiatives that cover all the Data Management Domains defined in these standards and in alignment with the National Data Management and Personal Data Protection Framework
2. Prioritization of the list of initiatives based on a prioritization framework such as, at minimum, Impact versus Ease of Implementation
3. Highlight of the initiatives that are Quick Wins and planned to be implemented within the first 6 months, and the mid to long term initiatives that are planned throughout the 3-year period.</t>
  </si>
  <si>
    <t>Strategy Approval and Socialization</t>
  </si>
  <si>
    <t>The Entity shall obtain formal approval of their Data Management and Personal Data Protection Strategy by the Entity’s Data Management Committee and other related senior level executives within the Entity. The Entity shall also socialize and raise awareness of the Data Management and Personal Data Protection Strategy in one or more internal workshops.</t>
  </si>
  <si>
    <t>Data Management and Personal Data Protection Policy and Guidelines Gap Analysis</t>
  </si>
  <si>
    <t>To support implementation of the Entity's Data Management and Personal Data Protection Strategy, the Entity shall conduct a Data Management and Personal Data Protection Policy and Guidelines gap analysis, including, at minimum, the following:
1. An analysis of the National Data Management and Personal Data Protection Program's Policies, Standards, and Guidelines
2. Identification and analysis of all data related standards and policies currently published by the Entity or the Regulator of the sector to which the Entity belongs to
3. An analysis of the internal Entity- specific requirements for Data Management and Personal Data Protection Policies and Guidelines
4. A Data Management and Personal Data Protection Policies and Guidelines development plan that clearly indicates the timeline for implementation.</t>
  </si>
  <si>
    <t>Data Management and Personal Data Protection Policy and Guidelines</t>
  </si>
  <si>
    <t>The Entity shall develop the Entity specific Data Management and Personal Data Protection Policy and Guidelines, aligned to the National Data Management and Personal Data Protection Policies and Standards.</t>
  </si>
  <si>
    <t>Data Management and Personal Data Protection Training</t>
  </si>
  <si>
    <t>The Entity shall conduct Data Management and Personal Data Protection training for all related employees to promote the agenda and enable a data-centric culture. The training shall include, at minimum, the following:
1. Awareness of the national Data Management and Personal Data Protection laws, policies, and standards, and their applicability on the Entity
2. Awareness of the national Data Management and Personal Data Protection programs, and their applicability on the Entity
3. All data management domains as per the National Data Management and Personal Data Protection Framework, addressed to the related Data Management and Personal Data Protection roles.</t>
  </si>
  <si>
    <t>Data Management Office</t>
  </si>
  <si>
    <t>The Entity shall establish a Data Management Office to manage the achievement of the national data management agendas at the Entity level. The office responsibilities shall be aligned with the responsibilities defined in the “Organizational Manual” published by NDMO.</t>
  </si>
  <si>
    <t>Entity Data Management Committee</t>
  </si>
  <si>
    <t>The Entity shall establish a Data Management Committee aimed to provide direction and oversight to the overall data management agenda at the Entity level. The committee responsibilities shall be aligned with the responsibilities defined in the “Organizational Manual” published by NDMO.</t>
  </si>
  <si>
    <t>Chief Data Officer</t>
  </si>
  <si>
    <t>The Entity shall identify and appoint a Chief Data Officer to lead the Data Management and Personal Data Protection agenda. The Chief Data Officer's (CDO) responsibilities shall be highlighted in a job description and aligned with the responsibilities defined in the “Organizational Manual” published by NDMO.</t>
  </si>
  <si>
    <t>Data Governance Officer</t>
  </si>
  <si>
    <t>The Entity shall identify and appoint Data Governance Officer to support the data management agenda. The Data Governance Officer's responsibilities shall be highlighted in a job description and aligned with the responsibilities defined in the “Organizational Manual” published by NDMO.</t>
  </si>
  <si>
    <t>Open Data and Information Access Officer</t>
  </si>
  <si>
    <t>The Entity shall identify and appoint an Open Data and Information Access Officer (ODIA) to support the data management agenda. The Open Data and Information Access Officer's responsibilities shall be highlighted in a job description and aligned with the responsibilities defined in the “Organizational Manual” published by NDMO.</t>
  </si>
  <si>
    <t>Compliance Officer</t>
  </si>
  <si>
    <t>The Entity shall identify and appoint a Compliance Officer to audit and monitor the data management agenda. The Compliance Officer’s responsibilities shall be highlighted in a job description and aligned with the National Data Management Office’s with the responsibilities defined in the “Organizational Manual” published by NDMO.</t>
  </si>
  <si>
    <t>Personal Data Protection Officer</t>
  </si>
  <si>
    <t>The Entity shall identify and appoint a Personal Data Protection Officer (PDPO) to support the Personal Data Protection agenda. The Personal Data Protection Officer's responsibilities shall be highlighted in a job description and aligned with the responsibilities defined in the “Organizational Manual” published by NDMO.</t>
  </si>
  <si>
    <t>Business Data Executive</t>
  </si>
  <si>
    <t>The Entity shall identify and appoint Business Data Executives (BDE) to enable the data management agenda for their related domains. The Business Data Executive's responsibilities shall be highlighted in a job description and aligned with the responsibilities defined in the “Organizational Manual” published by NDMO.</t>
  </si>
  <si>
    <t>Business Data Steward</t>
  </si>
  <si>
    <t>The Entity shall identify and appoint Business Data Stewards to enable the data management agenda for their related domains. The Business Data Steward responsibilities shall be highlighted in a job description and aligned with the responsibilities defined in the “Organizational Manual” published by NDMO.</t>
  </si>
  <si>
    <t>IT Data Steward</t>
  </si>
  <si>
    <t>The Entity shall identify and appoint IT Data Stewards to enable the data management agenda from an IT perspective. The IT Data Steward responsibilities shall be highlighted in a job description and aligned with the responsibilities defined in the “Organizational Manual” published by NDMO.</t>
  </si>
  <si>
    <t>Legal Advisor</t>
  </si>
  <si>
    <t>The Entity shall identify and appoint a Legal Advisor to support in data related regulatory matters. The Legal Advisor's responsibilities shall be highlighted in a job description and aligned with the responsibilities defined in the “Organizational Manual” published by NDMO.</t>
  </si>
  <si>
    <t>Compliance Management</t>
  </si>
  <si>
    <t>The Entity shall establish Data Management and Personal Data Protection Compliance Management practices, and shall accordingly define the following:
1. Scope of the periodic compliance audit exercise
2. Processes to plan for and execute the compliance audits
3. Processes and tools to report compliance audit findings
4. Processes and plans for the remediation and escalation of non-compliance
The processes shall be aligned to the National Data Management and Personal Data Protection Compliance Framework.</t>
  </si>
  <si>
    <t>Compliance Audit Results</t>
  </si>
  <si>
    <t>The Entity shall document results and findings from every compliance audit performed included in an Audit Report. The Audit Report(s) shall have, but not limited to, the following:
1. Compliance or non-compliance to each specification in this document
2. Clearly articulated findings with supporting evidence for each specification
3. Recommendations to remediate each instance of non-compliance
4. Accountable stakeholder for each recommendation, and the target date to complete the recommendation.</t>
  </si>
  <si>
    <t>Compliance Monitoring</t>
  </si>
  <si>
    <t>The Entity shall generate and monitor compliance audit scores by conducting periodic compliance audits aligned to the national data management compliance framework, and to the Entity's defined processes for executing, reporting, remediating and escalating audit findings.</t>
  </si>
  <si>
    <t>Periodic Plan Review</t>
  </si>
  <si>
    <t>The Entity shall conduct periodic reviews to the Entity’s Data Management and Personal Data Protection Plan, and document the outcome of these reviews, to ensure the plan maintains alignment towards the stated program objectives and evolving priorities. The Entity shall also document any changes to the initial approved plan where applicable.</t>
  </si>
  <si>
    <t>Communications</t>
  </si>
  <si>
    <t>The Entity shall implement a communications capability to communicate updates on Data Management and Personal Data Protection activities and its effectiveness. Communication updates shall be ongoing and, at minimum, include:
1. Key Data Management and Personal Data Protection program plan, activities and decisions
2. Storage of data management documents and artifacts
3. Measure of the data management performance metrics
4. Updates on the data management policies and processes
5. Updates on the compliance scores, compliance report, relevant regulatory environment and implementation plans.</t>
  </si>
  <si>
    <t>DG.7.1</t>
  </si>
  <si>
    <t>Data Governance KPIs</t>
  </si>
  <si>
    <t>The Entity shall establish key performance indicators (KPIs) to gather statistics on Data Governance. KPIs shall include, at minimum, the following:
1. Assignment of the Data Management and Personal Data Protection roles
2. Periodic Data Management and Personal Data Protection Committee Meetings completed
3. Development / Refresh of the Entity Specific Data Management Strategy and Policies
4. Trainings and awareness sessions completed
5. Participation in Training and Awareness Sessions
6. Compliance Audit Score
7. Start to finish cycle time to resolve data related issues reported to the Data Office
8. Number of change requests resolved and closed.</t>
  </si>
  <si>
    <t>Continuous Improvement</t>
  </si>
  <si>
    <t>The Entity shall define, implement, and monitor continuous improvement mechanisms for all Data Management domains. Improvements defined should relate to dimensions including the data organization and roles, processes, and technologies.</t>
  </si>
  <si>
    <t>Data Governance Approvals Register</t>
  </si>
  <si>
    <t>The Entity shall document in a register CDO's approved data governance decisions along with their respective justifications.</t>
  </si>
  <si>
    <t>Data Management Issue Tracking Register</t>
  </si>
  <si>
    <t>The Entity shall document in a register historical records of data management related issues and resolutions raised by business and technical users.</t>
  </si>
  <si>
    <t>Version Control</t>
  </si>
  <si>
    <t>The Entity shall define and implement version control for data management documents and artifacts that the Entity is the creator of.</t>
  </si>
  <si>
    <t>Data Catalog Plan</t>
  </si>
  <si>
    <t>Based on the Entity’s defined Data Management and Personal Data Protection Strategy and Plan, the Entity shall create a Data Catalog Plan to manage the implementation of the Entity’s Data Catalog. The plan shall include, at minimum, the following:
1. Roadmap with the activities and key milestones for the implementation of the Data Catalog automated tool. The activities shall, at minimum, incorporate what is needed to achieve the specifications in this domain
2. Assignment of the required resources and budget to manage the implementation of the Data Catalog automated tool.</t>
  </si>
  <si>
    <t>Data Sources Prioritization</t>
  </si>
  <si>
    <t>The Entity shall prioritize data sources to be included in the Data Catalog, along with the definition of their business and technical metadata (or metadata structure)..</t>
  </si>
  <si>
    <t>Metadata Architecture</t>
  </si>
  <si>
    <t>The Entity shall develop and document a target metadata architecture. The target metadata architecture shall include (but not limited to), the following:
1. Metadata sources - the Entity's data sources that are sources of metadata for the Data Catalog
2. Metadata repository - the Data Catalog as the Entity's central metadata repository
3. Metadata flows - a definition of metadata flows between the metadata sources and the metadata repository
4. Metadata model - a metadata model used by the Entity's Data Catalog.</t>
  </si>
  <si>
    <t>Data Access Approval</t>
  </si>
  <si>
    <t>The Entity shall establish and follow a clear process for the approval of connecting the Data Catalog tool to the Entity's Data Sources.</t>
  </si>
  <si>
    <t>Metadata Access Approval</t>
  </si>
  <si>
    <t>The Entity shall establish and follow a clear process for providing the Entity's employees an access to the Data Catalog automated tool.
The process shall implement role-based access to the Data Catalog, which includes the creation of access groups (for example read only, read and update, and administrator) and an assignment of the Data Catalog's users to these groups. The Data Catalog access groups shall be defined based on access rights to the Metadata and scope of the Metadata.</t>
  </si>
  <si>
    <t>Data Catalog Training</t>
  </si>
  <si>
    <t>The Entity shall conduct the Data Catalog training for every employee having direct need to discover, analyze or administer Metadata to promote the proper use of the Data Catalog. The training shall include, at minimum, the following:
1. Introduction of the Data Catalog concept and its benefits
2. Introductory and advanced tutorials about the Data Catalog automated tool and its functionalities
3. Hands-on exercises of the Data Catalog automated tool based on practical use cases.</t>
  </si>
  <si>
    <t>Data Catalog Adoption and Usage</t>
  </si>
  <si>
    <t>The Entity shall push for an adoption and increase usage of its Data Catalog by:
1. Identification of Data Catalog power users - the Entity's Data Catalog advanced users that can act as coaches for other users
2. Creation of a communication plan announcing current Data Catalog power users and encouraging other Data Catalog users to interact with them. The plan shall include, at minimum, the following:
2a. Description of communication actions 2b. Frequency of communication actions 2c. Target audience.
2b. Frequency of communication actions
2c. Target audience</t>
  </si>
  <si>
    <t>Metadata Stewardship Coverage</t>
  </si>
  <si>
    <t>The Entity shall assign Business and IT Data Stewards to all the Metadata registered within the Data Catalog.
Data Stewards assigned to the Metadata shall be continuously updated and shall reflect the most current Data Stewards' assignments within the Entity.</t>
  </si>
  <si>
    <t>Metadata Population</t>
  </si>
  <si>
    <t>The Entity shall establish and follow a clear process for registering and populating the Metadata within the Data Catalog. The process shall be implemented as a workflow in the Data Catalog automated tool and by following the National Data Management Office's Data Catalog Guidelines.</t>
  </si>
  <si>
    <t>Metadata Structure</t>
  </si>
  <si>
    <t>The Entity shall develop the Metadata structure according to the National Data Management Office's Data Catalog Guidelines.
The Metadata structure defines Business Metadata attributes that are required to be populated in the Data Catalog.
The Entity can augment the mandated Metadata structure with additional attributes based on the Entity's requirements.</t>
  </si>
  <si>
    <t>Metadata Update</t>
  </si>
  <si>
    <t>The Entity shall establish and follow a clear process for updating Metadata within its Data Catalog. The process of metadata update shall be implemented as a workflow in the Data Catalog automated tool and by following the National Data Management Office's Data Catalog Guidelines.</t>
  </si>
  <si>
    <t>Metadata Quality</t>
  </si>
  <si>
    <t>The Entity shall establish and follow a clear process for identifying and addressing quality issues with the Metadata.
The Metadata quality management process shall include reporting of identified quality issues and development of remediation actions within defined SLAs.
The process shall be implemented as a workflow in the Data Catalog automated tool and by following the National Data Management Office's Data Catalog Guidelines.</t>
  </si>
  <si>
    <t>Metadata Annotation</t>
  </si>
  <si>
    <t>The Entity shall establish a clear process for reviewing on regular basis Metadata annotations (tags, comments) added by users to the Metadata within the Data Catalog. The process shall be implemented as a workflow in the Data Catalog automated tool and by following the National Data Management Office's Data Catalog Guidelines.</t>
  </si>
  <si>
    <t>Metadata Certification</t>
  </si>
  <si>
    <t>The Entity shall establish a clear process for reviewing on regular basis trust certificates assigned by users to the Metadata within the Data Catalog. The process shall be implemented as a workflow in the Data Catalog automated tool and by following the National Data Management Office's Data Catalog Guidelines.</t>
  </si>
  <si>
    <t>Data Catalog Automated Tool</t>
  </si>
  <si>
    <t>The Entity shall implement the Data Catalog automated tool acting as an inventory of the Entity's data assets and supporting automation of Entity's Metadata management. The implementation shall be conducted according to the National Data Management Office's Data Catalog Guidelines.</t>
  </si>
  <si>
    <t>Metadata and Catalog Notifications</t>
  </si>
  <si>
    <t>The Entity shall monitor changes to its Metadata by setting up automated notifications functionality within the Data Catalog automated tool, to keep the entity’s data catalog users aware of any metadata updates</t>
  </si>
  <si>
    <t>Metadata and Catalog Audit Trial</t>
  </si>
  <si>
    <t>The Entity shall monitor activity of users within the Data Catalog automated tool by setting-up a tracking functionality provided by the tool. Monitoring shall include information about users’ logins to the Data Catalog and operations they invoke. The Entity shall store as artifacts the Data Catalog's activity and tracking logs.</t>
  </si>
  <si>
    <t>Tool Versioning</t>
  </si>
  <si>
    <t>The Entity shall have the Data Catalog automated tool updated to the latest published Vendor release or shall have a plan to update to the latest release reflected in the Data Catalog Development Plan.
If the latest release is not applicable to the Entity, the Entity shall have the analysis and a rationale for its release management strategy.</t>
  </si>
  <si>
    <t>Data Catalog KPIs</t>
  </si>
  <si>
    <t>The Entity shall establish key performance indicators (KPIs) to gather statistics on the usage and the adoption of the Data Catalog by users. KPIs shall include, at minimum, the following:
1. Number of registered Data Catalog users
2. Number of active Data Catalog users
3. Number of logins to Data Catalog
4. Number of performed metadata queries
5. Number of annotations (tags, comments) added to data assets
6. Number of ratings added to data assets
7. Number of assigned trust certificates to metadata.</t>
  </si>
  <si>
    <t>Metadata Quality KPIs</t>
  </si>
  <si>
    <t>The Entity shall establish key performance indicators (KPIs) to measure quality of its Metadata. KPIs shall include, at minimum, the following:
1. Completeness (degree to which business glossaries and data dictionaries are completed)
2. Accuracy (degree to which definitions and descriptions align to business context)
3. Consistency (degree to which definitions of Metadata are consistent across Entity).</t>
  </si>
  <si>
    <t>Data Quality Prioritization</t>
  </si>
  <si>
    <t>The Entity shall prioritize its data from the perspective of its importance for the Data Quality Management. The result of the prioritization shall be a ranked list of data to be followed when performing the Initial Data Quality Assessment. The 1st priority data shall include, at minimum, the Entity's master data.</t>
  </si>
  <si>
    <t>Data Quality Plan</t>
  </si>
  <si>
    <t>Based on the Entity’s defined Data Management and Personal Data Protection Strategy and Plan, the Entity shall create a Data Quality Plan to implement and manage activities aiming to improve quality of the Entity's data. The plan shall include, at minimum, the following:
1. Roadmap with the activities and key milestones for implementation of the Entity's Data Quality Management. The activities shall, at minimum, incorporate what is needed to achieve the specifications in this domain
2. Assignment of the required resources and budget to manage the implementation of Data Quality management.</t>
  </si>
  <si>
    <t>Initial Data Quality Assessment</t>
  </si>
  <si>
    <t>The Entity shall perform an Initial Data Quality Assessment of data included in the Entity's Data Quality Management scope. The assessment shall include, at minimum, the following:
1. Collection of business requirements for the Quality of data in the scope
2. Definition of Data Quality Rules based on collected business requirements
3. Performing of data profiling based on the defined Data Quality Rules
4. Reporting of identified Data Quality issues 
5. Development of remediation plans for the identified Data Quality issues. The remediation plan shall include (but not limited to) the following:
5a. Root cause analysis to determine the cause of identified Data Quality issue
5b. Impact analysis to assess negative consequences and a level (local, enterprisewide) of the issue 
5c. Definition of the Data Quality targets set for each of the issues, related to each Data Quality dimension, set depending on the issue’s context within the entity
5d. Definition of the options for resolving the issue's root cause, including a feasibility analysis
5e. Specification of data cleansing to be performed if Data Quality issue resolution does not correct data
6. Development of a roadmap and key milestones for a resolution of identified Data Quality issues.</t>
  </si>
  <si>
    <t>Data Quality Rules Development</t>
  </si>
  <si>
    <t>The Entity shall develop and document Data Quality Rules for all data included in the Entity's Data Quality Management scope. The rules are used to define the business requirements for Data Quality. The definition of Data Quality Rules shall include, at minimum, the following:
1. Rule owner - the Data Quality Analyst responsible for the rule's definition
2. Business description of the requirement to be validated by the rule
3. Assignment of rules to each of the Data Quality dimensions related to the particular data being measured:
3a. Completeness (the degree to which the necessary data is available for use)
3b. Uniqueness (the degree to which data records are unique, and not duplicates)
3c. Timeliness (the degree to which data is up to date and available when it is needed)
3d. Validity (a degree of records' conformance to format, type and range)
3e. Accuracy (a degree to which data values align to real values)
3f. Consistency (a degree to which data is consistent across different sources)
4. List of data attributes that are validated by the defined rules
5. Metrics that are calculated when the rule is validated (e.g. for the rule validating the
completeness of population of the data field, the metrics would be: a number of records where data is populated divided by a total number of records)
6. Escalation threshold that triggers a Data Quality alert for the rule (e.g. for the rule validating the completeness of the population of the data field, the escalation threshold could be the alert is triggered when below 90% of records have the field populated).</t>
  </si>
  <si>
    <t>Data Quality Monitoring</t>
  </si>
  <si>
    <t>The Entity shall monitor and document the Entity's Data Quality on a regular basis based on the defined Data Quality rules. The Data Quality monitoring shall include, at minimum, the
following:
1. Execution of existing Data Quality Rules according to defined triggering conditions (time schedule, event)
2. Reporting of the identified Data Quality issues to the Entity's data stewards and owners (at minimum, Business Data Steward and Business Data Executive).</t>
  </si>
  <si>
    <t>Data Quality Issues Resolution</t>
  </si>
  <si>
    <t>The Entity shall establish and follow a clear process for resolving the identified Data Quality issues. The process shall include, at minimum, the following:
1. The development of a remediation plan. The remediation plan shall include, at minimum, the following:
1a. Root cause analysis to determine the cause of the identified Data Quality issue
1b. Impact analysis to assess negative consequences and level (local, enterprise- wide) of the issue
1c. Definition of the options for resolving the issue's root cause, including a feasibility analysis
1d. Specification of data cleansing to be performed if a Data Quality issue resolution does not correct data errors in the source system
2. The decision and rationale on the selected option to resolve the issue
3. The implementation status of the issue's resolution change
4. The review of the implemented change with a verification that the issue is resolved.</t>
  </si>
  <si>
    <t>Data Quality Service Level Agreements</t>
  </si>
  <si>
    <t>The Entity shall establish and implement Data Quality Service Level Agreements specifying the Entity's requirements for resolving the identified Data Quality issues. The Entity's Data Quality Service Level Agreement shall include, at minimum, the following:
1. Timelines and deadlines for the development of the remediation plan for the Data Quality issue
2. Timelines and deadlines for the implementation and the review of Data Quality changes
3. Escalation actions to be taken when the SLA is not met.</t>
  </si>
  <si>
    <t>Data Quality Tools</t>
  </si>
  <si>
    <t>The Entity shall implement tools supporting automation of the Entity's Data Quality Management. The tools shall cover, at minimum, the following capabilities:
1. Data profiling - statistical analysis of data on data attribute, table and cross-domain level
2. Data Quality rules management - a development and an execution of Data Quality rules
3. Data Quality issues management - an automation of workflows for reporting and resolving Data Quality issues.</t>
  </si>
  <si>
    <t>Data Quality Trends</t>
  </si>
  <si>
    <t>The Entity shall establish key performance indicators (KPIs) to measure and report on the Entity's Data Quality trends against established targets. KPIs shall include, at minimum, the following:
1. Number of Data Quality issues reported based on the implemented Data Quality Rules
2. Number of Data Quality issues reported by the Data Catalog users
3. Number of the Data Quality Rules deployed.</t>
  </si>
  <si>
    <t>The Entity shall establish key performance indicators (KPIs) to measure and report on a performance of the Entity's Data Quality issues resolution process. KPIs shall include, at minimum, the following:
1. Number of resolved Data Quality issues vs reported Data Quality issues
2. Number of Data Quality issues resolved after the specified deadlines
3. Total time of the development of a Data Quality issue remediation plan
4. Total time of resolving a Data Quality issue (a root cause resolution implementation).</t>
  </si>
  <si>
    <t>Data Quality Checkpoints</t>
  </si>
  <si>
    <t>The Entity shall have Business and IT Data Stewards conducting the Data Quality reviews within the Software Development Lifecycle (SDLC) process. All Data Quality issues identified during Data Quality reviews shall be remediated before moving to the production. The Data Quality review should include, at minimum, the following:
1. The Data Quality log of identified quality issues
2. The remediation plan for the identified issues.</t>
  </si>
  <si>
    <t>Data Quality Support</t>
  </si>
  <si>
    <t>The Entity shall establish and follow a clear process enabling data users to report Data Quality issues to the Business Data Stewards. The process shall be implemented as a workflow in the Data Catalog automated tool and following the National Data Management Office's Data Catalog Guidelines.</t>
  </si>
  <si>
    <t>Data Quality Metadata</t>
  </si>
  <si>
    <t>The Entity shall publish existing Data Quality Rules and results of Data Quality Monitoring as the metadata registered within the Data Catalog automated tool. The population of the metadata shall be executed according to the process defined in Metadata and Data Catalog Management domain.</t>
  </si>
  <si>
    <t>Data Operations Plan</t>
  </si>
  <si>
    <t>Based on the Entity’s defined Data Management and Personal Data Protection Strategy and Plan, the Entity shall create a Data Operations Plan to manage and orchestrate Data Operations activities. The plan shall include, at minimum, the following:
1. Roadmap with the activities and key milestones for the implementation of Data Operations initiatives. The activities shall, at minimum, incorporate what is needed to achieve the specifications in this domain
2. Assignment of the required resources and budget to manage the implementation of Data Operations initiatives.</t>
  </si>
  <si>
    <t>Data Storage Forecasting</t>
  </si>
  <si>
    <t>The Entity shall conduct periodic forecasts of a storage capacity needed to support future business requirements of the Entity based on:
1. Observation of historical storage trends
2. Assessment of a performance of the Entity's applications
3. The Entity's roadmap for applications' development.
Forecasts of a storage capacity shall include, at minimum the following:
1. Prediction of the Entity's future storage capacity needs
2. Estimation of the budget for future storage acquisitions.</t>
  </si>
  <si>
    <t>Data Systems Prioritization</t>
  </si>
  <si>
    <t>The Entity shall prioritize its information systems based on their business criticality and potential monetary and reputational losses as a consequence of emergency or disaster. The result of the prioritization shall be a list of ranked information systems which shall be used to establish an order of systems recovery in the disaster recovery plan.</t>
  </si>
  <si>
    <t>Database Technology Evaluation</t>
  </si>
  <si>
    <t>The Entity shall establish and follow a clear process for evaluation and selection of the Database Management System Software. The process' evaluation factors shall include (but not limited to) the following factors:
1. Total cost of ownership including, at minimum, licensing, support, training, hardware
2. Availability of resources skilled in the technology, both internally and in the market
3. Presence of related software tools in the Entity
4. Volume and velocity limits of the technology
5. Reliability provided by the technology
6. Scalability of the technology
7. Security controls provided by the technology</t>
  </si>
  <si>
    <t>Storage and Retention Policy</t>
  </si>
  <si>
    <t>The Entity shall create a storage and retention policy for the Data Lifecycle Management of the Entity's data. The policy shall cover, at minimum, the following areas of the data lifecycle:
1. Storage conditions ensuring a protection of data in the event of disaster
2. Retention periods of data based on its type, classification, business value and legal requirements
3. Disposal and destruction rules based on the data type and classification
4. Required actions in the event of an accidental permanent loss of data.</t>
  </si>
  <si>
    <t>Database Monitoring</t>
  </si>
  <si>
    <t>The Entity shall monitor and report database performance on regular basis including (but not limited to) the following:
1. Capacity - size of the unused storage
2. Availability - accessibility of databases to users
3. Queries execution performance - query execution times and errors
4. Changes tracking - tracking of database changes for root cause analysis</t>
  </si>
  <si>
    <t>Database Access Control</t>
  </si>
  <si>
    <t>The Entity shall establish and follow a clear process for providing the Entity's employees an access to the databases. The process shall implement a role-based access to the databases which includes an assignment of roles to Entity's employees and granting permissions to the roles. Roles shall be defined by following the data classification domain standards.</t>
  </si>
  <si>
    <t>Storage Configuration Management</t>
  </si>
  <si>
    <t>The Entity shall establish and follow a clear process for managing its Storage Configuration. The process shall include (but not limited to) the following steps:
1. Configuration identification - identification and documentation of the attributes defining the database system configuration
2. Configuration change control - implementation of changes in the defined database configuration
3. Configuration status accounting - tracking of implemented changes in the configuration
4. Configuration audits - ensuring that the installed database configuration is consistent with the documented configuration</t>
  </si>
  <si>
    <t>DBMS Versioning</t>
  </si>
  <si>
    <t>The Entity shall have its DBMS tools updated to the latest published Vendor release or shall have a plan to update to the latest release reflected in the Data Management and Personal Data Protection Plan.
If the latest release is not applicable to the Entity, the Entity shall have the analysis and rationale for its release management strategy.</t>
  </si>
  <si>
    <t>Service Level Agreements</t>
  </si>
  <si>
    <t>The Entity shall establish and implement database performance Service Level Agreements specifying the Entity's requirements for the databases performance, data availability and recovery. The Entity's database performance Service Level Agreements shall include (but not limited to) the following:
1. Timeframes for database's availability for users
2. Maximum allowable execution time for selected application transactions
3. Escalation actions to be taken when the SLA is not met</t>
  </si>
  <si>
    <t>Data Backup Recovery</t>
  </si>
  <si>
    <t>The Entity shall establish and follow a clear process for the data backup and recovery including (but not limited to) the following:
1 - Definition of backup frequency for each information system
2 - Scope of backup for each information system including scope of data and scope of database transaction logs
3 - Location of backup files including a storage medium and a physical location
4 - Periodic validations of backup completions using non-production system copies</t>
  </si>
  <si>
    <t>Disaster Recovery</t>
  </si>
  <si>
    <t>The Entity shall establish and follow a disaster recovery plan including (but not limited to) the following:
1. Prioritized list of information systems defining an order of the information systems recovery
2. Assignment of roles responsible for addressing an incident response
3. Definition of actions to be taken to activate a response to the incident
4. Definition of actions to be taken to reduce the damage and mitigate the consequences of an incident on Entity's critical operations
5. Definition of Recovery Point Objectives (a maximum targeted period within which data might be lost without causing damage to business) for each information system covered in the plan
6. Definition of Recovery Time Objectives (a maximum targeted duration of time within which database can be down without causing damage to business) for each information system covered in the plan
7. Definition of recovery activities</t>
  </si>
  <si>
    <t>Production Data Access Control</t>
  </si>
  <si>
    <t>The Entity shall establish and follow a clear process for the implementation of database changes to Production Environments. The process shall include (but not limited to) the following:
1. Change request initiating the process
2. Definition of actions to be taken for a controlled implementation of changes to databases
3. Definition of actions to be taken for reversing the changes in case of identified issues</t>
  </si>
  <si>
    <t>Storage KPIs</t>
  </si>
  <si>
    <t>The Entity shall establish key performance indicators (KPIs) to gather statistics on usage of its data storage. KPIs shall include, at minimum, the following:
1. Percentage of total data storage capacity used
2. Percentage of data storage capacity used by type of database
3. Percentage of data storage capacity used for backups
4. Number of performed data transactions
5. Average time of queries execution.</t>
  </si>
  <si>
    <t xml:space="preserve">Document and Content
Management </t>
  </si>
  <si>
    <t>Document and Content Management Plan</t>
  </si>
  <si>
    <t>Based on the Entity’s defined Data Management and Personal Data Protection Strategy and Plan, the Entity shall create a Document and Content Management Plan to implement and control activities aiming to manage the Entity's documents and content lifecycle. The plan shall include, at minimum, the following:
1. Roadmap with the activities and key milestones for implementation of Documents and Content Management processes. The activities shall, at minimum, incorporate what is needed to achieve the specifications in this domain
2. Assignment of the required resources and budget to manage the implementation of Documents and Content Management processes.</t>
  </si>
  <si>
    <t>Documents Digitization Plan</t>
  </si>
  <si>
    <t>Based on the Entity’s defined Data Management and Personal Data Protection Strategy and Plan, the Entity shall create a Documents and Content Digitization Plan to manage the implementation of paperless management initiatives. The plan shall include, at minimum, the following:
1. Roadmap with the activities and key milestones for a migration of the Entity's existing paper-based documents to the electronic format
2. Roadmap with the activities and key milestones for the implementation of initiatives focused on eliminating a creation of paper- based documents in the Entity and replacing them with electronic documents
3. Assignment of the required resources and budget to manage the implementation of paperless management initiatives.</t>
  </si>
  <si>
    <t>Documents Prioritization</t>
  </si>
  <si>
    <t>The Entity shall identify and prioritize its documents to be stored and managed in the Entity's DMS. The result of the prioritization shall be a ranked list of documents to be used as an input in the implementation of the Entity's DMS.</t>
  </si>
  <si>
    <t>Documents Workflows Prioritization</t>
  </si>
  <si>
    <t>The Entity shall identify and prioritize its key processes to be implemented as workflows in DMS to enable automated and paperless management of documents within the Entity. The result of the prioritization shall be a ranked list of the processes to be used as an input in the implementation of the Entity's DMS.</t>
  </si>
  <si>
    <t>Document and Content Management Policy</t>
  </si>
  <si>
    <t>The Entity shall create a Document and Content Management policy/policies on managing the data lifecycle for documents and content within the Entity.
The policy/policies shall cover, at minimum, the following areas of the document and content lifecycle:
1. Documents' naming conventions used
2. Assignment of classification levels to documents
3. Documents and content access approval
4. Documents and content backup and recovery
5. Documents and content retention and disposal</t>
  </si>
  <si>
    <t>Document and Content Management Training</t>
  </si>
  <si>
    <t>The Entity shall conduct the Document and Content Management training for the Entity's employees to increase the awareness on leading practices in the Document and Content Management. The training shall include, at minimum, the following:
1. Introduction of the policies around the Document and Content Management
2. Introductory and advanced tutorials about Document and Content Management systems used and their functionalities.</t>
  </si>
  <si>
    <t>Backup and Recovery</t>
  </si>
  <si>
    <t>The Entity shall include the Document and Content Management Systems within its overall backup and recovery plan</t>
  </si>
  <si>
    <t>Retention and Disposal</t>
  </si>
  <si>
    <t>The Entity shall establish and follow a clear process for retention and disposal of the Entity's documents. The process shall implement the Entity's documents retention and disposal policy and shall include (but not limited to) the following:
1. Handover of documents to the Entity's archival facility
2. Physical destruction of documents, including overwriting and a secure deletion</t>
  </si>
  <si>
    <t>Document and Content Access Approval</t>
  </si>
  <si>
    <t>The Entity shall establish and follow a clear process for providing Entity's employees access to documents and content stored in the Entity's Document and Content Management Systems.
The process shall implement a role-based access to documents and content. The CMS and DMS access groups shall be defined by following the Data Classification domain standards</t>
  </si>
  <si>
    <t>Document and Content Metadata Publishing</t>
  </si>
  <si>
    <t>The Entity shall publish metadata of documents and content stored within the Entity's Document and Content Management Systems in the Entity's Data Catalog automated tool. The population of the metadata shall be executed according to the process defined in Metadata and Data Catalog Management domain.</t>
  </si>
  <si>
    <t>Documents and Content Management Tools</t>
  </si>
  <si>
    <t>The Entity shall implement tools supporting automation of the Entity's Document and Content Management. The tools shall include, at minimum, the following:
1. Document Management System - an application used to capture, store and manage documents in an electronic format (electronic documents and digital media). The selected DMS tool shall provide, at minimum, the following capabilities:
- Storage of documents
- OCR (Optical Character Recognition) functionality to analyze imported images
- Indexing of documents
- Versioning of documents including tracking of the history of changes
- Secured access to documents
- Global search and discovery on the registered documents
- Documents workflows development
2. Web Content Management System - an application used to store and manage website Content used by the Entity's portals and internet sites
3. Collaboration tools - applications providing users with platform to collaborate real-time on electronic documents, communicate using chat and track changes in the documents</t>
  </si>
  <si>
    <t>Documents Management KPIs</t>
  </si>
  <si>
    <t>The Entity shall establish key performance indicators (KPIs) to measure its documents management efficiency. KPIs shall include, at minimum, the following:
1. Volume of the Entity's documents stored and managed within the Entity's Document Management System
2. Number of users of the Entity's Document Management System
3. % of identified paper-based documents migrated to electronic format.</t>
  </si>
  <si>
    <t>Data Architecture and Modelling</t>
  </si>
  <si>
    <t>Data Architecture and Modeling Plan</t>
  </si>
  <si>
    <t>Based on the Entity’s defined Data Management and Personal Data Protection Strategy and Plan, the Entity shall create a Data Architecture and Modeling Plan to implement and manage activities aiming to improve its Data Architecture Capabilities. The plan shall include, at minimum, the following:
1. Roadmap with the activities and key milestones for the implementation of the target Data Architecture Capabilities. The activities shall, at minimum, incorporate what is needed to achieve the specifications in this domain
2. Assignment of the required resources and budget to manage the implementation of the activities included in the Roadmap.</t>
  </si>
  <si>
    <t>Data Architecture and Modeling Policy</t>
  </si>
  <si>
    <t>The Entity shall document and publish a Data Architecture and Modeling Policy to guide the development of the target data architecture. The policy shall cover, at minimum, the following:
1. Target Data Architecture shall address strategic requirements defined within the Entity's Data Management and Personal Data Protection Strategy
2. Target Data Architecture shall be developed in conjunction with the development of the Entity's overall Enterprise Architecture
3. Target Data Architecture shall adopt a widely used Enterprise Architecture Framework, e.g. TOGAF, Zachmann
4. The Entity's Data Models shall be monitored regularly and kept up to date.</t>
  </si>
  <si>
    <t>Current State Architecture</t>
  </si>
  <si>
    <t>The Entity shall define its 'baseline' current state Data Architecture to support the development of its target state Data Architecture.
The current state Data and Technical architecture should cover, at minimum, the following:
1. Data Model - The Entity's current Enterprise Data Model at Conceptual, Logical and Physical level. Each data model level shall cover, at minimum:
1a. Conceptual Model - Key business entities for the Entity with their relationships divided into business subject areas
1b. Logical Model - Conceptual model extended with attributes for business entities and addition of less significant entities and relationships
1c. Physical Model - Physical representation (physical tables names, attributes names, data types, primary and foreign keys etc.) of logical data models within the key System Components
2. Key Processes - Essential current processes involved in ongoing business operations and decision making
3. Key System Components - Essential current applications, data storages, data processing
platforms and data analytics solutions involved in key processes
4. Data Flows and Lineage - Visualized current data movement across the key processes and system components.</t>
  </si>
  <si>
    <t>Target State Architecture</t>
  </si>
  <si>
    <t>The Entity shall define and develop a future state target data architecture by following the Entity's Data Architecture and Modeling Policy. The target Data Architecture shall cover, at minimum, the following:
1. Data Model - the Entity's target Enterprise Data Model at Conceptual, Logical and Physical level. Each data model level shall include, at minimum:
1a. Conceptual Model - key business entities for the Entity with their relationships divided into business subject areas
1b. Logical Model - conceptual model extended with attributes for business entities and addition of less significant entities and relationships
1c. Physical Model - physical representation (physical tables names, attributes names, data types, primary and foreign keys etc.) of logical data models within the key System Components
2. Key Processes - Essential target processes involved in ongoing business operations and decision making
3. Key System Components - Essential target applications, data storages, data processing platforms and data analytics solutions involved in key processes
4. Data Flows and Lineage - Visualized target data movement across the key processes and system components.</t>
  </si>
  <si>
    <t>Future State Gap Assessment</t>
  </si>
  <si>
    <t>The Entity shall conduct and document a gap analysis between the Entity's current state architecture and the defined target state architecture. The gap analysis shall be used as an input for definition of initiatives required to implement target state data architecture.</t>
  </si>
  <si>
    <t>Big Data Considerations</t>
  </si>
  <si>
    <t>The Entity shall identify and document its requirements for developing a Data Lake environment using a vendor-neutral Big Data Reference Architecture Framework (e.g. NIST) and incorporating Big Data architecture components into its overall target Data Architecture design. The Data Lake requirements shall, at minimum, address requirements for:
1. Ingest - Ingesting and converting semi- and unstructured datasets into a structured form
2. Infrastructure - Networking, computing and storage needs handling large, diverse formats of data
3. Platform - Distributed storage solution providing distributed processing capabilities.</t>
  </si>
  <si>
    <t>Data Processing Considerations</t>
  </si>
  <si>
    <t>The Entity shall employ and document a partitioning strategy for its target state Data Architecture for efficient processing of various data volumes, variety and velocity of data and optimizing data processing and systems performance. The partitioning strategy should cover both real-time and batch processing operations.</t>
  </si>
  <si>
    <t>Model Representation</t>
  </si>
  <si>
    <t>The Entity shall select and follow a diagramming method (e.g. UML) for documenting the structure, relationships and notations of business entities at the conceptual, logical and physical level that can be used throughout the Software Development Lifecycle (SDLC).</t>
  </si>
  <si>
    <t>Tools and Technologies</t>
  </si>
  <si>
    <t>The Entity shall select and implement a toolset of technologies for the design, development and implementation of data architecture and modeling initiatives within the Entity. The Entity's toolset shall cover, at minimum, the following:
1. Data Architecture Design - Visually representing data and system components along with data flow diagramming
2. Data Modeling - Drawing functionality to create and modify data and system objects, attributes and relationships, and perform reverse engineering of existing data models
3. Data Lineage - Capturing and maintaining of data flows between systems to enable an impact analysis.</t>
  </si>
  <si>
    <t>Change Management</t>
  </si>
  <si>
    <t>The Entity shall establish and follow an architecture change management process to review, approve and implement changes to current and/or target state Data Architectures. The scope of architecture changes shall include, at minimum, the following:
1. Requests for new Data Architecture and Data Modeling initiatives
2. Modifications to Statement of Architecture Work documents for existing initiatives.</t>
  </si>
  <si>
    <t>Data Architecture Checkpoints</t>
  </si>
  <si>
    <t>The Entity shall have Data Architecture checkpoints incorporated into its Software Development Lifecycle (SDLC) process. The checkpoints shall include, at minimum, the following:
1. Investigation of possibilities for reusage of existing Data Architecture components to address business requirements
2. Validation of conformance of created data models with the Entity's Enterprise Data Model
3. Verification if project implies any changes required to the Entity's overall Enterprise Data Model.</t>
  </si>
  <si>
    <t>Data Architecture and Modeling KPIs</t>
  </si>
  <si>
    <t>The Entity shall establish key performance indicators (KPIs) to measure the state of its Data Architecture and Modeling capabilities. KPIs shall include, at minimum, metrics to track progress in transforming current state data architecture towards a target state data architecture.</t>
  </si>
  <si>
    <t>Data Architecture and Modeling Register</t>
  </si>
  <si>
    <t>The Entity shall store in a register its data and technical architecture project, reference documentation materials and data model designs.</t>
  </si>
  <si>
    <t>Initial Data Integration Assessment</t>
  </si>
  <si>
    <t>The Entity shall perform an Initial Data Integration Assessment to identify pain points and inefficiencies in the data movement and the integration across the Entity. The assessment shall include, at minimum, the following:
1. Creating an inventory of all existing IT components (data sources, systems, applications and data stores)
2. Documenting a high-level Data Lineage including the rules according to which data is changed, and the frequency of changes
3. Documenting data models used by the Entity's IT components.
The result of the Initial Data Integration Assessment shall be a list of identified data movement and integration pain points.</t>
  </si>
  <si>
    <t>Target Data Integration Architecture</t>
  </si>
  <si>
    <t>The Entity shall create a Target Data Integration Architecture based on the pain points identified in the Initial Data Integration Assessment to manage the data movement efficiently across data stores, systems and applications.
At minimum, the Target Data Integration Architecture shall include, the following:
1. Data Integration Requirements - Data Integration Requirements defined by the key business and IT stakeholders (incl. Data Architects)
2. Data Integration Architecture Diagram - Conceptual architecture diagram that defines the target integration architecture of the Entity's IT components (data sources, systems, applications, data stores) and the integration toward external IT components
3. Architecture Components - List of IT components (data sources, systems, applications, data stores) included in the scope of the Target Data Integration Architecture</t>
  </si>
  <si>
    <t>Data Integration Plan</t>
  </si>
  <si>
    <t>Based on the Entity’s defined Data Management and Personal Data Protection Strategy and Plan, the Entity shall create a Data Integration Plan to identify and orchestrate the implementation of the integration initiatives. The plan shall include, at minimum, the following:
1. Roadmap with the activities and key milestones for the implementation of the Target Data Integration Architecture. The activities shall, at minimum, incorporate what is needed to achieve the specifications in this domain
2. Assignment of the required resources and budget to manage the implementation of the Data Integration initiatives.</t>
  </si>
  <si>
    <t>Data Sharing Training</t>
  </si>
  <si>
    <t>The Entity shall conduct the Data Sharing training for every employee involved in the Data Sharing initiatives to ensure that they understand their obligations, responsibilities and the consequences of an unauthorized disclosure or mishandling of data. The training shall include, at minimum, the following:
1. Introduction on the applicability of the Data Sharing process
2. Leading practices of data handling
3. Consequences of mishandling of data
4. Data Sharing Principles and Controls</t>
  </si>
  <si>
    <t>Integration Requirements Document</t>
  </si>
  <si>
    <t>The Entity shall produce an Integration Requirements Document for each Entity's initiative requiring the data integration between the Entity's IT components. The document shall include, at minimum, the following:
1. Clearly defined scope
2. Entity's Business goals and objectives to be achieved
3. Implementation Timeline
4. Resources required
5. Cost estimate
6. Functional Requirements
7. Non-Functional Requirements.</t>
  </si>
  <si>
    <t>Solution Design Document</t>
  </si>
  <si>
    <t>The Entity shall create a Solution Design Document for each integration initiative based on the Integration Requirements Document provided. The document shall include, at minimum, the following:
1. Integration Solution Overview – Description of the solution supported by the Solution Overview Diagram
2. Target Data Integration Architecture Adherence – Alignment to the Target Data Integration Architecture
3. Data Orchestration – The Data-Flow- Diagram (DFD) portraying the flow of data in a data integration solution from start to finish, including intermediate steps, required to complete the transformation
4. Source-To-Target Mapping - Set of data transformation instructions that determine how to convert the structure and content of data in the source system to the structure and content needed in the target system. The instructions shall include, at minimum, the following:
4a. The technical format of data at the source and the target
4b. Specification of transformations required for all intermediate staging points between the source and the target.</t>
  </si>
  <si>
    <t>Integration Solution Testing</t>
  </si>
  <si>
    <t>The Entity shall perform testing of the developed Integration Solution prior to deploying it to the Production Environment to verify that it was implemented as defined in the Solution Design Document. At minimum, testing shall consist of the following stages:
1. Integration Testing – Verifying the correctness of data flows between integrated IT components (systems, applications, data stores) to identify and resolve any Data Quality issues or bugs
2. Functional Testing – Verifying that the system meets both functional and non- functional requirements and satisfies business goals.
Each of above stages shall include, at minimum, the following:
1. Defining Test Use Cases
2. Setting up a Test Environment
3. Executing Test Use Cases in a Test Environment and documenting test results.</t>
  </si>
  <si>
    <t>Monitoring and Maintenance</t>
  </si>
  <si>
    <t>The Entity shall actively monitor and maintain the Integration Solution after its release to the Production Environment. The monitoring and maintenance shall include, at minimum, the following:
1. Reporting on any identified bugs or defects
2. Producing the Change Request document to accommodate for any change requirements from the end users.</t>
  </si>
  <si>
    <t>ETL Process</t>
  </si>
  <si>
    <t>The Entity shall design, document and follow ETL (Extract Transform Load) process to integrate data from disparate sources and load it into Data Warehouse Store. The process shall include the following steps:
1. Extract - Data Extraction shall include, at minimum, the following:
1a. Identification of data sources from which the data will be extracted
1b. Extracting data from the data sources
1c. Staging extracted data temporarily in a physical data store on disk or in a memory
2. Transform - Data Transformation shall include, at minimum, the following:
2a. Data Mapping - Planning the actual transformation process
2b. Data Transformation - Removing duplicate data, filling out missing values, filtering, sorting, joining and splitting data
2c. Review - Validating the correctness of the transformation
3. Load - Storing of physically transformed data in the Data Warehouse Store.</t>
  </si>
  <si>
    <t>ELT Process</t>
  </si>
  <si>
    <t>The Entity shall design, document and follow ELT Process to store the unstructured data in its raw native format in the Data Lake. The process shall include the following steps:
1. Extract - Data Extraction shall include, at minimum, the following:
1a. Identification of data sources from which the data will be extracted
1b. Extracting data from the data sources
2. Loading - Storing physically data in its raw native format in the Data Lake
3. Transform - Data Transformation shall include, at minimum, the following:
3a. Data Mapping - Planning the actual transformation process
3b. Data Transformation - Removing duplicate data, filling out missing values, filtering, sorting, joining and splitting data
3c. Review - Validating the correctness of the transformation.</t>
  </si>
  <si>
    <t>Data Sharing Process</t>
  </si>
  <si>
    <t>The Entity shall adopt and follow the Data Sharing Process as defined in the Data Sharing Regulation published by the National Data Management Office when sharing data externally with Public Entities, Private Organizations and Individuals. The Data Sharing Process shall include the following steps:
1. Data Sharing Request Reception
2. Roles assignment
3. Data Classification level check
4. Data Sharing Principles assessment
5. Data Sharing decision and feedback
6. Business Data Executive approval
7. Design and implementation of Data Sharing controls
8. Data Sharing agreement signing
9. Sharing data with the Requestor.</t>
  </si>
  <si>
    <t>Data Sharing Request Submission Channel</t>
  </si>
  <si>
    <t>The Entity shall establish on its official Government website a channel to manage the submission and the reception of Data Sharing requests. Each such request shall be routed to the Data Office.</t>
  </si>
  <si>
    <t>Internal Data Sharing Agreements</t>
  </si>
  <si>
    <t>The Entity shall define and follow an Internal Data Sharing agreement template that shall be used when data is shared between information systems within the Entity.</t>
  </si>
  <si>
    <t>External Data Sharing Agreements</t>
  </si>
  <si>
    <t>The Entity shall design and implement the required Data Sharing controls as defined in the Data Sharing Regulation. The controls shall be agreed with the requesting Entity, and they shall be documented in the Data Sharing Agreement.
The Data Sharing Agreement shall include, at minimum, the following:
1. Purpose of the Data Sharing
2. Information about requesting and sharing Entity
3. Lawful basis for sharing
4. Sharing details (date, duration)
5. Liability provisions
The Data Sharing agreement shall be signed by the Business Data Executive and the Requestor prior to sharing data.</t>
  </si>
  <si>
    <t>Data Sharing Agreements' Review</t>
  </si>
  <si>
    <t>The Entity shall review all ongoing Data Sharing agreements on a regular basis to accommodate for any changes. The audit shall be executed, and its outcome documented by the Data Steward based on contractual provisions and procedures detailed out in the Data Sharing agreement.</t>
  </si>
  <si>
    <t>Data Sharing and Interoperability KPIs</t>
  </si>
  <si>
    <t>The Entity shall establish key performance indicators (KPIs) to measure the progress and benefits from implementing Data Integration solutions, and the effectiveness of Data Sharing activities. KPIs shall include, at minimum, the following:
1. Data transfer rate between systems / applications
2. Latency between data sources and data targets
3. The number of Data Sharing requests received
4. The number of Data Sharing requests accepted/denied
5. The number of Data Sharing requests sent
6. The number of ongoing Data Sharing agreements
7. Average duration of Data Sharing requests evaluation process expressed in days.</t>
  </si>
  <si>
    <t xml:space="preserve">Reference and Master Data
Management </t>
  </si>
  <si>
    <t>Reference and Master Data Plan</t>
  </si>
  <si>
    <t>Based on the Entity’s defined Data Management and Personal Data Protection Strategy and Plan, the Entity shall create a Reference and Master Data Plan to implement and manage activities aiming to improve its Reference and Master Data Management Capabilities. The plan shall include, at minimum, the following:
1. Roadmap with the activities and key milestones for the implementation of the Entity's Reference and Master Data Management. The activities shall, at minimum, incorporate what is needed to achieve the specifications in this domain
2. Assignment of the required resources and budget to manage the implementation of the activities included in the Roadmap.</t>
  </si>
  <si>
    <t>Reference and Master Data Identification and Prioritization</t>
  </si>
  <si>
    <t>The Entity shall identify its reference and master data. The identification shall cover, at minimum, the following:
1. Identification of Master Data objects (e.g. customer, product, citizen) used across the Entity
2. Identification of Reference Data Objects required by instances of identified Master Data Objects
3. Identification of data sources and applications where Reference and Master Data Objects are created, read, updated and deleted.
The Entity shall logically group and prioritize its identified Reference and Master Data Objects for determining a phased approach to implementation of target RMD Information Architecture.</t>
  </si>
  <si>
    <t>Reference Data Categorization</t>
  </si>
  <si>
    <t>The Entity shall categorize its identified Reference Data Objects as either internal or external datasets:
- Internal - Any reference data the Entity owns, manages and is Single Source of Truth across government
- External - Any reference data owned and managed by other Entities across government or considered standard industry data coming from external organizations such as ISO.
An identification of internal and external reference data used by the Entity is as an input for standardization activities of Reference Data at the national Government level.</t>
  </si>
  <si>
    <t>Master Data Categorization</t>
  </si>
  <si>
    <t>The Entity shall categorize its identified Master Data objects as either internal or external:
- Internal - Any Master Data Objects the Entity owns, manages and is Single Source of Truth across government
- External - Any Master Data Objects owned and managed by other Entities across government.
An identification of internal and external Master Data Objects used by the Entity is as an input for standardization activities of Master Data at the national Government level.</t>
  </si>
  <si>
    <t>RMD Requirements</t>
  </si>
  <si>
    <t>Based on the Data Management and Personal Data Protection Strategy, the Entity shall establish and document its requirements for effectively managing the Entity's Reference and Master Data across the data lifecycle. The requirements for Reference and Master Data shall cover, at minimum, the following:
1. Processes and related roles for managing the Entity's Reference and Master Data Objects across the data lifecycle from creation to archiving
2. Rules for accurate matching and merging Master Data Records from different data sources to create Golden Record
3. Requirements for provisioning of Master Data Golden Records to consuming applications
4. Requirements for provisioning of Reference Data Objects to consuming applications
5. Data quality requirements for Reference and Master Data Objects to be leveraged an input for Initial Data Quality Assessment detailed in Data Quality domain.</t>
  </si>
  <si>
    <t>RMD Data Hub Design</t>
  </si>
  <si>
    <t>The Entity shall evaluate and select Reference
Master Data Hub architecture design to effectively manage its Reference and Master Data Objects. The Entity shall determine, based on its RMD Requirements, which of the following Data Hub architecture implementation patterns is most suitable for managing its Master Data Objects:
1. Registry Hub - Master Data Records remains in its respective source systems. The Hub stores an index of Master Data with key identifiers only. Creating and modifying master data is maintained in the Master Data sources, the Hub provides links to Master Data Records in data sources
2. Repository Hub - Master Data Records are copied from source systems, matched and consolidated into the Data Hub. Master Data is pushed out (one-way synchronization) to the Data Hub from existing sources. Creating and modifying of Master Data Records is maintained in the Master Data sources
3. Coexistence Hub - Two-way synchronization is added to the Repository Hub design to ensure both source and Hub maintain exactly the same replicas of Master Data Records over time. Creating and modifying of Master Data Records is maintained in the respective data sources
4. Centralized Hub - Master Data Records are migrated to the Data Hub. The Hub becomes the exclusive, single provider of Master Data Records with creating and modifying performed exclusively in the Hub. All consumer applications use the Hub exclusively for their Master Data.
Regarding Reference Master Data Objects, the Hub Design shall support Centralized management of Reference Data - the Hub acting as a single provider of Reference Data with creating and modifying performed exclusively in the Hub. All consumer applications use the Hub as a provider of Reference Data.</t>
  </si>
  <si>
    <t>RMD Conceptual Architecture</t>
  </si>
  <si>
    <t>The Entity shall develop and document a conceptual architecture for its target Reference and Master Data environment per the Entity's selected Data Hub architecture design. The conceptual architecture shall indicate
foundational building block components and high-level capabilities associated with the components. The conceptual 'RMD' architecture shall consist, at minimum, of the following:
1. Architecture Description - Description of the overall architecture concept defined
2. Components Definitions and Descriptions - Building blocks (the Data Hub, data sources, consuming applications etc.) of RMD conceptual architecture with description of their purpose
3. Conceptual Architecture Diagram- High level view of how components work together to address the Entity's RMD requirements.</t>
  </si>
  <si>
    <t>RMD Information Architecture</t>
  </si>
  <si>
    <t>The Entity shall develop and document an information architecture for its target Reference and Master Data environment based on defined conceptual architecture. The information architecture shall represent, at minimum, the following components:
1. Reference and Master Data Objects - inventory of identified Reference and Master Data Objects including metadata definitions
2. Conceptual and Logical Master Data Model - conceptual and logical data model for identified Master Data Objects and their relationships
3. Reference and Master Data Sources - Inventory of identified reference and master data sources
4. Rules for matching and merging Master Data Records from different data sources to create Golden Record within the Data Hub
5. Reference and Master Data Flows - One way or bi-directional data movements of:
5a. Master Data Records between data sources and the Data Hub
5b. Master Data Golden Records between Data Hub and consuming applications
5c. Reference Data between Data Hub and consuming applications.</t>
  </si>
  <si>
    <t>RMD Data Hub Technical Requirements</t>
  </si>
  <si>
    <t>The Entity shall define and document the technical requirements for its Reference and Master Data Hub platform based on the defined target RDM Information Architecture. The requirements shall cover, at minimum, the
following areas:
1. Management of Workflows - Creating and
modifying of Reference and Master Data
Records and assignment of the MDM
stewardship
2. Versioning Control - Tracking of changes to
Reference and Master Data Records over
time
3. Functional Capabilities - Functional
capabilities required from the Hub (e.g.
Import, export and mappings of data,
automation of operational tasks around
collection, cleansing etc.)
4. Technical Capabilities - Technical capabilities
required from the Hub (e.g. API Integration
with upstream and downstream applications
and systems)
5. Security - Support for secure data exchange
between the Hub and connected
applications/data sources.</t>
  </si>
  <si>
    <t>Reference and Master Data Training</t>
  </si>
  <si>
    <t>The Entity shall conduct the Reference and Master Data training for employees responsible for managing Reference and Master Data. The training shall include, at minimum, the following topics:
1. Identification - Identifying correct sources of Master and Reference Data
2. Matching - Linking records between systems containing Master Data
3. Consolidation - Removing duplication and overlap between Master Data Sources
4. Conflict Resolution - Resolving conflicts in Reference and Master Data
5. Managing Changes - Leveraging supporting technologies in managing and automating Reference and Master Data changes.</t>
  </si>
  <si>
    <t>RMD Stewardship Coverage</t>
  </si>
  <si>
    <t>The Entity shall assign Business and IT Data Stewards to all identified Reference and Master Data Objects.</t>
  </si>
  <si>
    <t>RMD Data Lifecycle Management Process</t>
  </si>
  <si>
    <t>The Entity shall establish and follow a clear process for managing Reference and Master Data Objects across Data Lifecycle from creation to archiving. The process shall cover roles and actions involved in, at minimum, the following steps of Data Lifecycle:
1. Creation of new Reference and Master Data Objects and their instances
2. Modification of existing Reference and Master Data Objects and their instances
3. Archiving of Reference and Master Data Objects and their instances</t>
  </si>
  <si>
    <t>RMD Data Hub Implementation</t>
  </si>
  <si>
    <t>The Entity shall implement the Reference and Master Data Hub for managing its Reference and Master Data Objects and provide Trusted Source of reference and master data across entity. As a part of implementation of the Data Hub, the Entity shall, at minimum:
1. Instantiate the physical Data Hub technical architecture components necessary to address the Entity's target RMD information
architecture requirements
2. Establish the Master Data Model as defined by RMD Information Architecture within the Data Hub
3. Load the Reference and Master Data Objects into the Data Hub
4. Activate necessary replication between Master Data Source systems and the Data Hub
5. Activate synchronization between the Data Hub and consuming applications.</t>
  </si>
  <si>
    <t>Data Hub as Trusted Source</t>
  </si>
  <si>
    <t>The Entity shall establish the Data Hub as the Entity's Trusted Source for any new information system and application implemented requiring the use of the Entity's Reference and/or Master Data Objects.</t>
  </si>
  <si>
    <t>RMD Service Level Agreements</t>
  </si>
  <si>
    <t>The Entity shall establish Service Level Agreements for its RMD Data Lifecycle Management Process to effectively balance time vs. cost for changes to its Reference and Master Data.</t>
  </si>
  <si>
    <t>RMD Program KPIs</t>
  </si>
  <si>
    <t>The Entity shall establish key performance indicators (KPIs) to measure the effectiveness of development of its Reference and Master Data capabilities. KPIs shall include, at minimum, the following:
1. Number of incorrect data values in the Master Data Records
2. Mean Time to Repair (MTTR) Reference and Master Data quality issues
3. Change request volumes for Reference and Master Data Objects.</t>
  </si>
  <si>
    <t>RMD Change Request Logs</t>
  </si>
  <si>
    <t>The Entity shall document in a register its reference and master data change request logs and the decisions made based on those requests.</t>
  </si>
  <si>
    <t>RMD Initiative Planning Documents</t>
  </si>
  <si>
    <t>The Entity shall document in a register Statement of Architecture Work documents for its Reference and Master Data initiatives.</t>
  </si>
  <si>
    <t xml:space="preserve">Business Intelligence &amp; Analytics </t>
  </si>
  <si>
    <t>Business Intelligence and Analytics Plan</t>
  </si>
  <si>
    <t>Based on the Entity’s defined Data Management and Personal Data Protection Strategy and Plan, the Entity shall create a Business Intelligence and Analytics Plan to manage and orchestrate Business Intelligence and Analytics activities. The plan shall include, at minimum, the following:
1. Roadmap with the activities and key milestones for the implementation of BI and Analytics use cases. The activities shall, at minimum, incorporate what is needed to achieve the specifications in this domain
2. Assignment of the required resources and budget to manage the implementation BI and Analytics use cases</t>
  </si>
  <si>
    <t>Bi and Analytics Use Case Identification and Prioritization</t>
  </si>
  <si>
    <t>The Entity shall identify and prioritize the list of BI and Analytics use cases based on the Entity's strategy and key challenges faced within the sector:
1. Identify: Ideation workshops shall be conducted with a long list of identified use cases documented, with each use case defined with its name, description, and entities to be involved in this use case
2. Prioritization: The long list of use cases shall be shortlisted based on a predefined prioritization framework with criteria such as impact and complexity</t>
  </si>
  <si>
    <t>BI and Analytics Use Case Detailing</t>
  </si>
  <si>
    <t>The Entity shall detail the shortlisted BI and Analytics Use Cases that represent the Entity's business data-driven needs. Each shortlisted Analytics Use Case shall, at minimum, have the following documented:
1. Objective aimed to be achieved from the use case
2. Type of Analytics leveraged (among the five maturity levels of discovery, descriptive, diagnostic, predictive, prescriptive)
3. The expected benefits and business value aimed to be derived (ROI) through development of a business case
4. Stakeholders involved in the implementation of the use case, the owner that would lead the use case, and the target consumers that would benefit from the insights generated by the use case
5. List of business requirements to implement the use case
6. Data sources that would feed the use case with the required data fields
7. The technologies required to implement the use cases
The long list of use cases, their prioritization, and detailing shall be inserted in a use case portfolio document.</t>
  </si>
  <si>
    <t>BI and Analytics Use Case Implementation Plan</t>
  </si>
  <si>
    <t>The Entity shall develop and document an implementation plan for each the shortlisted and approved BI and Analytics Use Cases defined in the use case portfolio and comprise of the next steps to pilot the use case, followed by production and then monitoring results. The implementation plan shall address, at minimum:
1. Detail Functional and Non-Functional Requirements - Use case objectives translated into analytics requirements
2. High Level Design - Conceptual design of the analytics solution, e.g. wireframes
3. Staging and Production Environment Preparations - Analytics solution hosting environments during and after development
4. Development - Functional and nonfunctional requirements to be developed to meet the high-level design
5. Testing - Scope and types of testing to be conducted
6. Deployment and Schedule - Timeline for establishing a pilot and / or delivery of the complete use case
7. Required Resources - Key personnel within the Entity who have the needed skills, expertise and knowledge to successfully implement the Analytics Use Case
8. Acceptance Criteria - Key criteria for measuring the successful implementation of the analytics use case.</t>
  </si>
  <si>
    <t>Business Intelligence and Analytics Training</t>
  </si>
  <si>
    <t>The Entity shall conduct the BI and Analytics training for all employees involved in BI and Analytics initiatives to upskill analytics capabilities within the Entity. The training shall include, at minimum, the following:
1. Methods for gathering and organizing data required for the analysis
2. Model development, applying analytics methods and using analytics tools
3. Data models and data flows development
4. Types of graphical representation of data and information
5. Analytical models' evaluation techniques.</t>
  </si>
  <si>
    <t>Business Intelligence and Analytics Awareness</t>
  </si>
  <si>
    <t>The Entity shall develop and implement Business Intelligence and Analytics awareness campaigns to promote the awareness, education and adoption of its Business Intelligence and Analytics capabilities. Awareness campaigns shall leverage one or more of the Entity's existing communications channels to drive awareness of the Entity's:
1. Current Analytics Assets Available from the Entity - Previously implemented use cases, analytics models, APIs, BI reports and dashboards for potential data sharing and reuse
2. BI and Analytics Success Stories - Quantifiable and qualitative benefits and outcomes from recent use case implementations
3. New Analytics and AI Tools and Workflows - New Analytics and AI tools and workflows introduced within the Entity, particularly with emerging technologies</t>
  </si>
  <si>
    <t>Business Intelligence and Analytics Use Case Validation</t>
  </si>
  <si>
    <t>The Entity shall define and conduct a validation process to validate use case outcomes, initial intended purpose and alignment with the Entity's overall Analytics Plan. The validation of use cases, at minimum, shall address:
1. Analytics Use Case functional and non- functional requirements
2. Analytics Use Case Personal Data Protection considerations, as prescribed in the Privacy Domain
3. Analytics Use Case return on investment as per the target set</t>
  </si>
  <si>
    <t>Data Science Team</t>
  </si>
  <si>
    <t>The Entity shall leverage a Data Analytics Team that would drive the implementation of the Business Intelligence and Analytics specifications. The Data Analytics Team typically include roles such as Data Scientists, Data Engineers, and Visualization Engineers.</t>
  </si>
  <si>
    <t>Business Intelligence and Analytics KPIs</t>
  </si>
  <si>
    <t>The Entity shall establish key performance indicators (KPIs) to measure the performance and effectiveness of its Analytics and AI portfolio. KPIs shall include, at minimum, the following:
1. Number of use cases defined
2. Number of use cases piloted
3. Number of use cases implemented and scaled
4. Total ROI value generated from the implemented use cases
5. Training and awareness sessions delivered.</t>
  </si>
  <si>
    <t>Business Intelligence and Analytics Register</t>
  </si>
  <si>
    <t>The Entity shall document in a register its BI and Analytics Use Cases, final review of outcomes delivered as a result of each implementation and related process documentation whereby read access is granted to all Entity stakeholders.</t>
  </si>
  <si>
    <t>Data Value Realization Use Cases</t>
  </si>
  <si>
    <t>The Entity shall identify, and document Data Value Realization Use Cases. The Data Value Realization Use Cases shall include, at minimum, the following:
1. Data Revenue Generation Use Cases - Data or Data Products to generate revenue from, as defined in the Data Revenue Framework Regulation. Data or Data Products are the outputs resulting from transforming data for added value by performing additional data collection, enrichment, preparation, analysis, or presentation
2. Cost Saving Use Cases – Data-driven use cases that will contribute directly or indirectly to reducing costs and achieving efficiencies by leveraging data to improve organizational operational performance, productivity, and products and services.
For each Data Value Realization Use Case the Entity shall estimate and document the projected Payback period and Return on Investment (ROI).</t>
  </si>
  <si>
    <t>Data Value Realization Plan</t>
  </si>
  <si>
    <t>Based on the Entity’s defined Data Management and Personal Data Protection Strategy and Plan, the Entity shall create a Data Value Realization Plan to realize its data revenue generation potential and drive data-related cost optimization initiatives. The plan shall include, at minimum, the following:
1. Roadmap with the activities and key milestones for the implementation of Data Value Realization Use Cases. The activities shall, at minimum, incorporate what is needed to achieve the specifications in this domain
2. Assignment of the required resources and budget to manage the implementation of Data Value Realization Use Cases.</t>
  </si>
  <si>
    <t>Pricing Scheme Definition</t>
  </si>
  <si>
    <t>The Entity shall, for each Data or Data Product expecting to generate revenue from, select and document an appropriate Pricing Scheme Model based on the scenarios outlined in the Data Revenue Framework Regulation.</t>
  </si>
  <si>
    <t>Data or Data Product Price Calculation</t>
  </si>
  <si>
    <t>The Entity shall, for each Data or Data Product expecting to generate revenue from, calculate and document the Total Cost as defined by the Data Revenue Framework Regulation. The total cost shall include, at minimum, the following:
1. Data Collection Cost - Cost incurred for collecting, cleansing, and curating data
2. Data Development Cost - Cost incurred for developing analytical models, data visualizations and other value-added services provided on top of collected data.</t>
  </si>
  <si>
    <t>Charging Model Adoption</t>
  </si>
  <si>
    <t>The Entity shall for each Data or Data Product that it is expecting to generate revenue from, define and document the adopted Charging Model. The Entity shall choose, at minimum, from the following Charging Models defined in the Data Revenue Framework Regulation:
1. Subscription Model
2. Consumption-Based Model
3. Freemium / Premium Model
4. One-Time Fee Model.</t>
  </si>
  <si>
    <t>Revenue Generation Request Submission</t>
  </si>
  <si>
    <t>The Entity shall for each Data or Data Product that it is expecting to generate revenue from, submit a revenue generation request to the National Data Management Office. The request shall include, at minimum, the following:
1. Description of Data or Data Product
2. Pricing Scheme Documentation
3. Proposed Charging Model
4. Proposed Final Unit Price
5. Justification if the Final Unit Price does not follow the Cost Recovery Pricing Scheme.</t>
  </si>
  <si>
    <t>Data Value Realization Use Cases Monitoring and Maintenance</t>
  </si>
  <si>
    <t>"The Entity shall actively monitor and maintain implemented Data Value Realization Use Cases. The monitoring and maintenance shall include, at minimum, the following:
1. Measuring and validating KPIs (ROI and Payback Period) against projected values in the Data Value Realization Plan
2. Developing Change Request documents to accommodate change requirements from end users
3. Reporting defects or malfunctions in the use case implemented.</t>
  </si>
  <si>
    <t>DVR.4.1</t>
  </si>
  <si>
    <t>Data Value Realization KPIs</t>
  </si>
  <si>
    <t>The Entity shall establish key performance indicators (KPIs) to measure the Entity's Data Value Realization activities. KPIs shall include, at minimum, the following:
1. Number of Data Products developed
2. Number of Data or Data Products revenue generation requests raised to NDMO
3. Number of Data Products that generated revenue
4. Total revenue generated from offering Data or Data Products
5. Total cost saved from implemented Cost Saving Use Cases
6. Data Value Realization Use Case Payback period
7. Data Value Realization Use Case Return on Investment (ROI).</t>
  </si>
  <si>
    <t>Open Data Plan</t>
  </si>
  <si>
    <t>Based on the Entity’s defined Data Management and Personal Data Protection Strategy and Plan, the Entity shall create an Open Data Plan to identify and coordinate the publishing of its Open Datasets. The plan shall include, at minimum, the following:
1. Roadmap with the activities and key milestones for the implementation of Open Data initiatives. The activities shall, at minimum, incorporate what is needed to achieve the specifications in this domain
2. Assignment of the required resources and budget to manage the implementation of Open Data initiatives.</t>
  </si>
  <si>
    <t>Open Data Awareness</t>
  </si>
  <si>
    <t>The Entity shall plan awareness campaigns to ensure potential users are aware of the existence, nature, and quality of the Open Data offered by the Entity. The awareness plan shall include, at minimum, the following:
1. Usage of Open Data and its various positive social and economic benefits
2. Promoting the Entity Open Data and related activities</t>
  </si>
  <si>
    <t>Open Data Processes</t>
  </si>
  <si>
    <t>The Entity shall, in alignment to the National Data Management Office's Open Data Regulation, develop and document processes required across the lifecycle of Open Data, including, at minimum, the following:
1. Processes to identify public datasets to be published the Entity
2. Processes to ensure that datasets are published and maintained to their appropriate format, timeliness, comprehensiveness, and overall high quality and ensure the exclusion of any restricted data
3. Processes for gathering feedback, analyzing performance at the Entity level, and improving the overall Open Data national impact.</t>
  </si>
  <si>
    <t>Open Data Identification</t>
  </si>
  <si>
    <t>The Entity shall, as part of the identification process:
1. Identify and document all data classified as 'public' and prioritize each dataset identified as Open Data
2. Perform a valuation of the identified dataset to drive decision making on whether it should be published as open data or not
3. Assess whether some combination of any publicly available data and the data intended to be published could allow for the unauthorized disclosure of personal information or create any other security or privacy risk or threat Refer to the National Data Management Office's Open Data Regulation for detailed requirements</t>
  </si>
  <si>
    <t>Open Data Publishing</t>
  </si>
  <si>
    <t>The Entity shall publish datasets identified under the KSA Open Data License, as referred to in the National Data Management Office's Open Data Regulation</t>
  </si>
  <si>
    <t>Open Data Metadata</t>
  </si>
  <si>
    <t>The Entity shall identify and document the metadata necessary within the Open Dataset to easily identify, describe and search for it once published</t>
  </si>
  <si>
    <t>Open Data Format</t>
  </si>
  <si>
    <t>The Entity shall use standardized formats when publishing its datasets that are, at minimum, in machine-readable form. Common formats that meet this standard include, but may not be limited to, the following:
1. CSV - Comma Separated Values
2. JSON - JavaScript Object Notation
3. XML - eXtensible Markup Language
4. RDF - Resource Description Framework.
The Entity shall also accompany datasets with documentation containing instructions on how to use them in relation to its published format</t>
  </si>
  <si>
    <t>Open Data Maintenance</t>
  </si>
  <si>
    <t>The Entity shall, as part of the maintenance process:
1. Regularly update and document changes to its published Open Datasets and associated metadata whenever changes occur
2. Perform continuous review of the published Open Datasets to ensure they meet defined regulatory requirements
Maintain data traceability by documenting data provenance and maintaining versioning history of the dataset</t>
  </si>
  <si>
    <t>Open Data KPIs</t>
  </si>
  <si>
    <t>The Entity shall establish key performance indicators (KPIs) to measure the progress of the Open Data Plan and gather statistics on the published Open Datasets. KPIs shall include, at minimum, the following:
1. Number of downloads per published Open Dataset
2. Number of identified and prioritized Open Datasets
3. Number of identified Open Datasets that have been published
4. Number of updates performed on published Open Datasets.</t>
  </si>
  <si>
    <t>Open Data Register</t>
  </si>
  <si>
    <t>The Entity shall document in a register the list of all its identified Open Datasets combined with a log of open data activities conducted and decisions taken during the Data Lifecycle
Management process</t>
  </si>
  <si>
    <t>FOI Plan</t>
  </si>
  <si>
    <t>Based on the Entity’s defined Data Management and Personal Data Protection Strategy and Plan, the Entity shall create a Freedom of Information Plan to address both strategic and operational requirements of the National Data Management Office's Freedom of Information Regulations. The plan shall include, at minimum, the following:
1. Roadmap with the activities and key milestones for achieving and maintaining the Entity's compliance with the National Data Management Office's Freedom of Information Regulations. The activities shall, at minimum, incorporate what is needed to achieve the specifications in this domain
2. Assignment of the required resources and budget to achieve and maintain the Entity's compliance with the National Data Management Office's Freedom of Information Regulations.</t>
  </si>
  <si>
    <t>FOI Awareness</t>
  </si>
  <si>
    <t>The Entity shall launch awareness campaigns to promote and enhance the culture of transparency and to raise awareness of the National Data Management Office's Freedom of Information Regulations and right to access Public Information. The awareness campaigns shall include, at minimum, the following:
1. Raising awareness across the employees involved in the processing of FOI Access Requests to understand the main obligations and requirements of National Data Management Office's Freedom of Information Regulations
2. Raising awareness of the Freedom of Information Principles and their applicability on Saudi citizens' rights.</t>
  </si>
  <si>
    <t>FOI Request Process Design</t>
  </si>
  <si>
    <t>The Entity shall design and document a standardized Request for Information Process and develop the procedures to manage, process and document the requests to access Public Information according to in the National Data Management Office Freedom of Information Regulations.</t>
  </si>
  <si>
    <t>FOI Request Process Implementation</t>
  </si>
  <si>
    <t>The Entity shall establish and follow a clear process to manage the requests to access Public Information according to the conditions and requirements defined in the National Data Management Office's Freedom of Information Regulation.
As part of the process the Entity shall make one of the following decisions after receiving the request for access to Public Information within the period defined in the National Data Management Office's Freedom of Information Regulations:
1. Grant the access to Public Information
2. Deny the request to access Public Information
3. Extend the time required to provide a response to the Requestor
4. Notify the Requestor if the required information is available on the Entity’s website or is not within its competence.</t>
  </si>
  <si>
    <t>Public Entity Publication</t>
  </si>
  <si>
    <t>The Entity, under the National Data Management Office's Freedom of Information Regulation, shall publish on their official Government websites or its affiliate's websites, at minimum, the following information:
1. Laws, regulations, instructions and regulatory decisions applicable to the Entity
2. Entity's services provided and description detailing how to obtain access to those services
3. Entity's organizational structure including Entity's roles and responsibilities
4. Entity's job vacancy information, except information of security or military job vacancies as determined by security or military regulatory authorities or KSA Regulations
5. Entity's annual key strategic and operational reports including the Entity's financial statement
6. Entity's general statistics and updates on its activities including, at minimum, the following:
6a. Number of the Entity's employees 
6b. Year of the Entity's establishment
6c. Number of the Entity's services provided in the last year
6d. Up-to-date Entity's activities' descriptions
7. Contact details to persons with valid licenses granted by the Entity including, at minimum, the following:
7a. Names of the persons
7b. Postal addresses of the person 
7c. E-mail addresses of the persons
8. Information on projects offered or awarded by the Entity as prescribed by the Freedom of Information Regulations in respect of a risk that may affect people’ life, health or property. The information shall include, at minimum, the following:
8a. Names of recipients 
8b. Execution period
8c. Technical analysis
9. Guidelines and leaflets that raise the people's awareness of their Freedom of Information rights toward the Entity.
If the information above is not applicable or available, the Entity shall provide a justification to the National Data Management Office.</t>
  </si>
  <si>
    <t>Access Request Forms</t>
  </si>
  <si>
    <t>The Entity shall prepare request forms for access to Public Information - whether paper or electronic - specifying the required information to be provided by the Requestor. The required information shall include, at minimum, the following:
1. Information about the Requestor including name, address, national ID
2. Description of Public Information being requested
3. Purpose behind the request for access to public information
4. Legal basis for the request
5. Notice delivery method to the requestor (e-mail, national address)
6. Date of the request.</t>
  </si>
  <si>
    <t>Information Fees Determination</t>
  </si>
  <si>
    <t>The Entity shall, for each granted Public Information Access Request, calculate and document a processing fee by adopting a Pricing Scheme as defined in the National Data Management Office's Data Value Realization Regulation.</t>
  </si>
  <si>
    <t>Compliance monitoring</t>
  </si>
  <si>
    <t>The Entity shall conduct internal audits to monitor compliance with the National Data Management Office's Freedom of Information Regulations and document its findings in a report submitted to the Open Data and Information Access Officer. In cases of non-compliance, corrective actions should be taken with a notification to the Regulatory Authority and the National Data Management Office and documented within the audit findings report.
Refer to the National Data Management Office's Freedom of Information Regulations for more detailed requirements.</t>
  </si>
  <si>
    <t>FOI Register</t>
  </si>
  <si>
    <t>The Entity shall document in a register compliance records as required by the National Data Management Office's Freedom of Information Regulations. The register shall include, at minimum, the following:
1. Information on the current Open Data and Information Access Officer
2. Public Information Access Requests Records
3. Public Entity Publication
4. Any other records, including the manner and format, that is required by the National Data Management Office's Freedom of Information Regulation.
Refer to the National Data Management Office's Freedom of Information Regulations for more detailed requirements.</t>
  </si>
  <si>
    <t>Data Classification Plan</t>
  </si>
  <si>
    <t>Based on the Entity’s defined Data Management and Personal Data Protection Strategy and Plan, the Entity shall create a Data Classification Plan to manage and orchestrate its Data Classification activities. The plan shall include, at minimum, the following:
1. Roadmap with the activities and key milestones for the classification of Entity's data. The activities shall, at minimum, incorporate what is needed to achieve the specifications in this domain
2. Assignment of the required resources and budget to manage the classification of Entity's data.</t>
  </si>
  <si>
    <t>Data Classification Prioritization</t>
  </si>
  <si>
    <t>The Entity shall prioritize the Entity's datasets and artifacts to be classified. The result of the prioritization shall be a list of ranked datasets and artifacts to be followed when establishing an order of the Entity's Data Classification.</t>
  </si>
  <si>
    <t>Security Controls</t>
  </si>
  <si>
    <t>The Entity shall assign data handling and protection controls to datasets and artifacts based on their classification to ensure secure handling, processing, sharing and disposal of data by following the National Cybersecurity Authority regulations.</t>
  </si>
  <si>
    <t>Data Identification</t>
  </si>
  <si>
    <t>The Entity shall identify and inventory all datasets and artifacts owned by the Entity as part of the Data Classification Implementation process detailed in the National Data Management Office's Data Classification Regulation. If the Entity had already implemented its Data Catalog automated tool, the Entity shall use it to inventory all its datasets and artifacts.</t>
  </si>
  <si>
    <t>Impact Assessment</t>
  </si>
  <si>
    <t>The Entity shall conduct an impact assessment of the potential damages due to an unauthorized access to all its identified datasets and artifacts. The impact assessment shall include the following steps:
1. Identification of the potential categories impacted amongst national interest, organizations, individuals and environment
2. Selection of the level of impact of potential damage for the identified categories amongst 'High', 'Medium', 'Low' and 'None/Insignificant'
3. Assignment of classification levels to datasets and artifacts based on the selected impact level:
3a. If the impact level was assessed as 'High', then datasets and artifacts shall be classified as 'Top Secret'
3b. If the impact level was assessed as
'Medium', then datasets and artifacts shall be classified as 'Secret'
3c. If the impact level was assessed as 'Low', then datasets and artifacts shall be classified as 'Confidential'
3d. If the impact level was assessed as 'None/Insignificant', then datasets and artifacts shall be classified as 'Public'.
The assessment shall be conducted as a part of the Data Classification Implementation process by following the National Data Management Office's Data Classification Regulation.</t>
  </si>
  <si>
    <t>Assessment for Low Impact Data</t>
  </si>
  <si>
    <t>The Entity shall assess the possibility to Classify 'Low' impact data as 'Public' instead of 'Confidential'. The assessment shall include the following:
1. Evaluation if the disclosure of 'Low' impact data is in breach of any existing regulation
2. Identify the potential benefits of opening such datasets and artifacts and consider whether those would outweigh the negative impacts
If release of 'Low' impact data is not in breach of any existing regulation and if benefits of release outweigh the negative impact, the Entity shall classify 'Low' impact data as 'Public'. The assessment shall be conducted as part of the Data Classification Implementation process by following the National Data Management Office's Data Classification Regulation.</t>
  </si>
  <si>
    <t>Data Classification Review</t>
  </si>
  <si>
    <t>The Entity shall review all its classified datasets and artifacts to ensure that the classification levels assigned to them are the most appropriate ones as part of the Data Classification Implementation process by following National Data Management Office's Data Classification Regulation.</t>
  </si>
  <si>
    <t>Data Classification Metadata</t>
  </si>
  <si>
    <t>The Entity shall publish classification levels assigned to its datasets and artifacts as the metadata registered within the Data Catalog
automated tool. The population of the metadata shall be executed according to the</t>
  </si>
  <si>
    <t>Data Classification KPIs</t>
  </si>
  <si>
    <t>The Entity shall establish key performance indicators (KPIs) to measure the progress on the classification plan and the implementation of the Entity's Data Classification process. KPIs shall include, at minimum, the following:
1. % of datasets and artifacts classified
2. % of datasets and artifacts classified by a classification level
3. % of 'Low' impact data classified as 'Confidential'
4. % of classified datasets and artifacts that has been reviewed and approved.</t>
  </si>
  <si>
    <t>The Entity shall document in a register the list of all its identified datasets and artifacts combined with log of Data Classification activities conducted during Data Classification Implementation process. The register shall include, at minimum, the following:
1. List of the Entity's identified datasets and artifacts
2. Classification levels assigned to identified datasets and artifacts
3. Dates of assignment of classification levels to identified datasets and artifacts
4. Classification duration applied to identified datasets and artifacts
5. Classification levels approved during review
6. Dates of classification levels' review.</t>
  </si>
  <si>
    <t>Personal Data Protection Initial Assessment</t>
  </si>
  <si>
    <t>The Entity shall perform an initial Personal Data Protection Assessment to evaluate the current state of the Personal Data Protection environment. The assessment shall include, at minimum, the following:
1. Identification of types of personal data being collected
2. Location and method of storage of personal data
3. Current processing and uses of the personal data
4. Privacy challenges to meet compliance with the National Data Management Office's Personal Data Protection Regulations.</t>
  </si>
  <si>
    <t>Personal Data Protection Plan</t>
  </si>
  <si>
    <t>Based on the Entity’s defined Data Management and Personal Data Protection Strategy and Plan, the Entity shall create a Personal Data Protection Plan to address both the strategic and operational privacy requirements of the National Data Management Office's Personal Data Protection Regulations. The plan shall include, at minimum, the following:
1. Roadmap with the activities and key milestones for achieving and maintaining the Entity's compliance with the National Data Management Office's Personal Data Protection Regulations. The activities shall, at minimum, incorporate what is needed to achieve the specifications in this domain
2. Assignment of the required resources and budget to achieve and maintain the Entity's compliance with the National Data Management Office's Personal Data Protection Regulations.</t>
  </si>
  <si>
    <t>Personal Data Protection Training</t>
  </si>
  <si>
    <t>The Entity shall conduct the Personal Data Protection training for every employee to promote a Personal Data Protection-centric culture in accordance with the Entity-specific and national privacy regulations. The training shall include, at minimum, the following:
1. Importance of Personal Data Protection and the Impacts and consequences to the Entity and / or Data Subject
2. Definition of Personal Data
3. Data Subject Data Rights
4. Entity and Data Subject Responsibilities
5. Notifications as for when the Entity and / or Data Subject should be notified and how to handle inquiries about personal data collection, processing and sharing.</t>
  </si>
  <si>
    <t>Data Breach Notification</t>
  </si>
  <si>
    <t>The Entity's Data Controller or Data Processor handling personal data shall, in the event it is determined that personal data has been compromised, notify the Regulatory Authority within the allotted timeframe specified within the National Data Management Office's Personal Data Protection Regulations. The allotted timeframe for notification is 72 hours.
Refer to the National Data Management Office's Personal Data Protection Regulations for more detailed requirements.</t>
  </si>
  <si>
    <t>Data Breach Management Process</t>
  </si>
  <si>
    <t>The Entity shall develop and document breach management procedures to directly manage and address the privacy violations and to set the functions and responsibilities for the affected work team, including cases in which the Regulatory Authority is notified once a breach has been identified. The breach management process shall include, at minimum, the following:
1. Conducting an incident review by the Data Controller with the Regulatory Authority
2. Formulating an immediate response to the incident by the Data Controller and / or Data Processor
3. Implementing the permanent corrective actions when issued by the Regulatory Authority
4. Conducting testing of the implemented corrective actions to validate personal data protection solution(s).
Refer to the National Data Management Office's Personal Data Protection Regulations, as well as NCA’s guidance for more detailed requirements.</t>
  </si>
  <si>
    <t>Privacy Notice and Consent Management</t>
  </si>
  <si>
    <t>The Entity shall establish, at minimum, the following Privacy Notice and Consent Management components:
1. Define and document its processes for providing Data Subjects with notice and requesting consent at all points along the data lifecycle where personal data is collected as prescribed by the National Data Management Office's Personal Data Protection Regulations
2. The Entity shall provide all possible options to Data Subject and his (implicit / explicit) approval shall be obtained regarding the collection, use or disclosure of personal data
3. The Entity shall document and make available a Privacy Notice for Data Subjects to review before or at the time the Entity requests permission to collect personal data
4. In the event the Data Controller maintains a presence on internet, a hyperlink to privacy notice must be maintained. The notice must be made available to the National Data Management Office for inspection upon request.
Refer to the NMDO Personal Data Protection Regulations for more detailed requirements.</t>
  </si>
  <si>
    <t>Data Subject Rights</t>
  </si>
  <si>
    <t>The Entity shall establish and document its Data Rights Management processes to support the rights of Data Subjects, in accordance with the
National Data Management Office's Personal Data Protection Regulations, whereby the Data Subject has a:
1. Right to be informed
2. Right to access
3. Right to rectification
4. Right to erasure
5. Right to object
6. Right to restrict processing
7. Right to data portability
The Entity should inform the Data Subjects about their rights and provide possible means by which Data Subjects requests are submitted, responded to and tracked.
Refer to the National Data Management Office's Personal Data Protection Regulations for more detailed requirements.</t>
  </si>
  <si>
    <t>Personal Data Protection Risk Assessments</t>
  </si>
  <si>
    <t>The Entity shall conduct yearly risk assessments of the operation and use of its information systems containing personal data, including the collection and processing of personal data, and the storing and transmittal of personal data by each system - whether automated or manual. Risk assessment findings shall, at minimum, be:
1. Documented
2. Analyzed for impact and likelihood of occurrence
3. Evaluated against current regulations obligations and criticality to resolve.</t>
  </si>
  <si>
    <t>Compliance Monitoring and Audit</t>
  </si>
  <si>
    <t>The Entity shall conduct internal audits to monitor compliance with privacy regulations and document its findings in a report presented to the Data Protection Officer. In cases of non- compliance, corrective actions should be taken with a notification to the Regulatory Authority and the National Data Management Office and documented within the audit findings report.
Refer to the National Data Management Office's Personal Data Protection Regulations for more detailed requirements.</t>
  </si>
  <si>
    <t>Personal Data Protection Register</t>
  </si>
  <si>
    <t>The Entity shall document in a register compliance records for a reasonable period of time, but not less than 24 months, and shall make those records available when requested by the National Data Management Office as defined in the National Data Management Office's Personal Data Protection Regulations. The register shall include, at minimum, a record of any collection and/or processing of any personal data.</t>
  </si>
  <si>
    <t>Row Labels</t>
  </si>
  <si>
    <t>Count of NDMO Specifications</t>
  </si>
  <si>
    <t>(blank)</t>
  </si>
  <si>
    <t>Grand Total</t>
  </si>
  <si>
    <t>Data Catalog &amp; Metadata Management</t>
  </si>
  <si>
    <t>Fully Compliant</t>
  </si>
  <si>
    <t>Partially Compliant</t>
  </si>
  <si>
    <t>Non-Compliant</t>
  </si>
  <si>
    <t>NDI Calculations</t>
  </si>
  <si>
    <t>NDMO Calculations</t>
  </si>
  <si>
    <t>Number of Compliant Specifications at Priority Levels:</t>
  </si>
  <si>
    <t>Percentage of Specifications at Domain Level:</t>
  </si>
  <si>
    <t xml:space="preserve">Compliance Percentage per Compliant Level </t>
  </si>
  <si>
    <t>Total required evedences</t>
  </si>
  <si>
    <t>Total accepted evedences</t>
  </si>
  <si>
    <t xml:space="preserve">NDI Level per Question </t>
  </si>
  <si>
    <t>Original Domain Weightage</t>
  </si>
  <si>
    <t>Priorities</t>
  </si>
  <si>
    <t>Total</t>
  </si>
  <si>
    <t>Overall</t>
  </si>
  <si>
    <t>Level</t>
  </si>
  <si>
    <t>Weight</t>
  </si>
  <si>
    <t>new wightage</t>
  </si>
  <si>
    <t>Data Catalog &amp; Metadata</t>
  </si>
  <si>
    <t>Total No.</t>
  </si>
  <si>
    <t>Percentage of Compliant Specifications at Priority Levels:</t>
  </si>
  <si>
    <t>Number of Specifications at Domain Level:</t>
  </si>
  <si>
    <t xml:space="preserve">Specifications Number per Compliant Level </t>
  </si>
  <si>
    <t>Report Charts</t>
  </si>
  <si>
    <t>Compliance Status at Priority Level:</t>
  </si>
  <si>
    <t>Priority 1</t>
  </si>
  <si>
    <t>Priority 2</t>
  </si>
  <si>
    <t>Priority 3</t>
  </si>
  <si>
    <t>Spider Chart Input</t>
  </si>
  <si>
    <t>Score</t>
  </si>
  <si>
    <t>Current</t>
  </si>
  <si>
    <t>Target</t>
  </si>
  <si>
    <t>Spider Chart Breakdown</t>
  </si>
  <si>
    <t>Maturity Question</t>
  </si>
  <si>
    <t>Speci</t>
  </si>
  <si>
    <t>Compliance</t>
  </si>
  <si>
    <t>Spec iD</t>
  </si>
  <si>
    <t>DS.1</t>
  </si>
  <si>
    <t>DS.2</t>
  </si>
  <si>
    <t>DS.3</t>
  </si>
  <si>
    <t>DS.4</t>
  </si>
  <si>
    <t>DS.5</t>
  </si>
  <si>
    <t>DS.6</t>
  </si>
  <si>
    <t>DS.7</t>
  </si>
  <si>
    <t>DS.8</t>
  </si>
  <si>
    <t>DS.9</t>
  </si>
  <si>
    <t>DS.10</t>
  </si>
  <si>
    <t>DS.11</t>
  </si>
  <si>
    <t>Meets NDMO criteria?</t>
  </si>
  <si>
    <t>PDP.C.4.1.2</t>
  </si>
  <si>
    <t>PDP.C.1.2</t>
  </si>
  <si>
    <t>DQ.C.2.3.1</t>
  </si>
  <si>
    <t>The entity must attach an updated and approved report by the responsible authority to monitor the effectiveness of the Data Architecture and Modeling Process, based on predefined and identified Key Performance Indicators (KPIs) and scorecards. 
Each indicator’s data or card must include the following, as a minimum:
• Indicator’s Name / Code.
• Indicator’s Owner.
• Indicator’s Coordinator.
• Indicator’s Description.
• The strategic/operational objective to be measured (with identifying the Specification or the Process to which the indicator belongs).
• Indicator’s Equation.
• Measurement Unit (Percentage, Number / Quantity, etc.).
• Baseline (Measurement value in the first measurement year).
• Target value.
• Measurement Periodicity (Monthly / Quarterly / Biannually / Annually).
• Data sources used to calculate the indicator.
• Data collection mechanism.
• Indicator’s polarity (+/-) (Positive Polarity: Higher indicator value is the target, Negative Polarity: Lower indicator value is the target).
• The current value of the indicator compared to the target value.
• The status of the indicator (achieved/delayed/not achieved/etc).
The report should also include: 
• Recommendations for performance improvement based on the actual values of the indicators.
• Supporting documents for the data used to calculate the indicator values.</t>
  </si>
  <si>
    <t>Saudi Air Navigation Services</t>
  </si>
  <si>
    <t>SANS-CYB-DM-PL-02-SANS-Data Strategic Requirements and Data- Ver.1.0 Mar 2024</t>
  </si>
  <si>
    <t>Evidence Document Name</t>
  </si>
  <si>
    <t>SANS-CYB-DM-PL-03-Data Strategy Mandate - Ver.1.0 Mar 2024, Page # 31</t>
  </si>
  <si>
    <t>SANS-CYB-DM-PL-01-SANS-Data Strategy Roadmap &amp; Investment Plan- Ver.1.0 Mar 2024</t>
  </si>
  <si>
    <t>SANS_NDMO Compliance Assessment Sheet</t>
  </si>
  <si>
    <t xml:space="preserve">FW Organizational Announcement - Executives, FW Organizational Changes </t>
  </si>
  <si>
    <t>Data Management  Governance Committee  Charter PMO, FW Organizational Announcement - Executives, Cybersecurity and Data Governance Director</t>
  </si>
  <si>
    <t>FW Organizational Announcement - Executives, Data Management Director V2</t>
  </si>
  <si>
    <t>Data Management  Governance Committee  Charter PMO</t>
  </si>
  <si>
    <t>CIS - Data Governance Section Head - updated, CIS - Data Governance and Compliance Specialist - Updated, CIS - Data Governance and Protection Manager - updated</t>
  </si>
  <si>
    <t>CEO - Legal Consultations &amp; Contracts Section Head, CEO - Legal Manager, CEO - Litigations Section Head</t>
  </si>
  <si>
    <t>CIS - Data Governance and Protection Manager - updated, CIS - Data Protection and Privacy Section head, CIS - Data Protection Specialist</t>
  </si>
  <si>
    <t>CIS - Data Governance and Compliance Specialist - Updated, CIS - Data Governance Section Head - updated</t>
  </si>
  <si>
    <t>RE_ Data Management &amp; NDMO Requirements - Content Management, NDMO Requirements Socialization – Crisis Management &amp; Business Continuity Team, Fw_ NDMO Requirements Details</t>
  </si>
  <si>
    <t>SANS Data Management Training v4 (1), SANS_Data Classification Awareness - Final Version (005)</t>
  </si>
  <si>
    <t>SANS-CYB-MD-PMM01-FO-03-Data Governance Approvals Register-Rev.A-Oct 2024</t>
  </si>
  <si>
    <t>SANS-CYB-DM-POL07-FO-01-SANS Data Governance and Management Issue Tracking Register-Rev.A-Nov 2024</t>
  </si>
  <si>
    <t>SANS-CYB-DM-PL-01-SANS-Data Strategy Roadmap &amp; Investment Plan- Ver.1.0 Mar 2024, Pg. #48</t>
  </si>
  <si>
    <t>DQ.MQ.1-3 ticket1, DQ.MQ.1-3 ticket1_1</t>
  </si>
  <si>
    <t>SANS-CYB-DM-PL-01-SANS-Data Strategy Roadmap &amp; Investment Plan- Ver.1.0 Mar 2024, Page # 56</t>
  </si>
  <si>
    <t>SANS- IT - POL - 01-IT Change Management - Ver.1.0-Nov 2024 (DO.MQ.3), DO.MQ.3</t>
  </si>
  <si>
    <t>SANS - Function Design Document (AMS &amp; DMS)_Dec24_v6 - Final, SANS - 1573-3 - Project Plan - 281124_V4 - RSM Signed</t>
  </si>
  <si>
    <t>SANS-CYB-DM-POL-04-Document and Content Management Policy-Ver.1.0-May 2024</t>
  </si>
  <si>
    <t>SANS - Function Design Document (AMS &amp; DMS)_Dec24_v6 - Final</t>
  </si>
  <si>
    <t>SANS-CYB-DM-PL-02-SANS-Data Strategic Requirements and Data- Ver.1.0 Mar 2024, SANS Data Achitecture Assessment v1.0</t>
  </si>
  <si>
    <t>Integration_assessment</t>
  </si>
  <si>
    <t>SANS-CYB-PMM18- Data Sharing - Ver. 2.0- Apr 2025</t>
  </si>
  <si>
    <t>Integration_assessment, SANS Data Achitecture Assessment v1.0</t>
  </si>
  <si>
    <t>SANS-CYB-DM-PL-02-SANS-Data Strategic Requirements and Data- Ver.1.0 Mar 2024, #64</t>
  </si>
  <si>
    <t>SANS-CYB-DM-PL-01-SANS-Data Strategy Roadmap &amp; Investment Plan- Ver.1.0 Mar 2024, Pg. #53</t>
  </si>
  <si>
    <t>Power_BI Assessment</t>
  </si>
  <si>
    <t>SANS-CYB-DM-PL-01-SANS-Data Strategy Roadmap &amp; Investment Plan- Ver.1.0 Mar 2024, Pg #70-72</t>
  </si>
  <si>
    <t>SANS-CYB-DM-PL-01-SANS-Data Strategy Roadmap &amp; Investment Plan- Ver.1.0 Mar 2024, Page #69</t>
  </si>
  <si>
    <t>SANS-CYB-DM-PL-01-SANS-Data Strategy Roadmap &amp; Investment Plan- Ver.1.0 Mar 2024, Page #59</t>
  </si>
  <si>
    <t>SANS-CYB-DM-PL-02-SANS-Data Strategic Requirements and Data- Ver.1.0 Mar 2024, Page # 86</t>
  </si>
  <si>
    <t>SANS-CYB-DM-PL-01-SANS-Data Strategy Roadmap &amp; Investment Plan- Ver.1.0 Mar 2024, Page # 45</t>
  </si>
  <si>
    <t>SANS-CYB-DM-POL-01 SANS - Data Classification - Policy Ver 1.1-Apr 2025</t>
  </si>
  <si>
    <t>SANS-CYB-GL-01 SANS - Data Classification Handling Guidelines-Ver 1.0- Apr 2025</t>
  </si>
  <si>
    <t>SANS Data Classification Register_V1</t>
  </si>
  <si>
    <t>SANS-CYB-DM-PMM-01SANS - Data Classification - Process  Ver 1.1-Apr 2025</t>
  </si>
  <si>
    <t>RoPA Template, SANS DPIA Tamplate</t>
  </si>
  <si>
    <t>PDPL Awareness Material_V3.2 with script</t>
  </si>
  <si>
    <t>SANS-CYB-DM-PL-01-SANS-Data Strategy Roadmap &amp; Investment Plan- Ver.1.0 Mar 2024, SANS Roadmap Report V2 (Final)-SA-RUHPF4WXLPF, Pg. #46</t>
  </si>
  <si>
    <t>DRAFT - SANS - DSR Process</t>
  </si>
  <si>
    <t xml:space="preserve">Draft process exist, but not approved </t>
  </si>
  <si>
    <t>No relevant evidence present</t>
  </si>
  <si>
    <t>DRAFT - SANS - Consent Management - Guidelines - V.2.0</t>
  </si>
  <si>
    <t>Received Consent Management Guidelines. The Consent Management process is  absent.</t>
  </si>
  <si>
    <t>SANS-CYB-DM-POL-02-Personal Data Protection Policy-Ver.1.0-Aug 2024</t>
  </si>
  <si>
    <t>DRAFT - SANS - Data Breach Management Process</t>
  </si>
  <si>
    <t xml:space="preserve">SANS Roadmap Report V2 (Final)-SA-RUHPF4WXLPF </t>
  </si>
  <si>
    <t>The provided evidence does not align with NDI requirements.</t>
  </si>
  <si>
    <t>DM Screenshort
SANS Data Classification Register_V1, SANS Department data register - Data Managment_v2 Final (DC.MQ.1), DC.MQ.2</t>
  </si>
  <si>
    <t>The provided document is a data sharing request letter. It is not relevant to the evidence required here.</t>
  </si>
  <si>
    <t>SANS_Target_State_Data_Operating_Model_v 4.0</t>
  </si>
  <si>
    <t>Data governance framework is not activated</t>
  </si>
  <si>
    <t xml:space="preserve">The evidence provided lacks the required information on DQ issue detection and correction processes. </t>
  </si>
  <si>
    <t>DQ.MQ.1-3 ticket1
DQ.MQ.1-3 ticket1_1</t>
  </si>
  <si>
    <t>The  evidence provided lacks information on the current Data Quality monitoring practices (i.e., number of issues detected, validated, resolved and the status of  open DQ issues)</t>
  </si>
  <si>
    <t>A draft Storage and Retention Policy  exists</t>
  </si>
  <si>
    <t>DO.MQ.2 Database Management Activities F&amp;I1</t>
  </si>
  <si>
    <t>The provided evidence is IT change management policy. It lacks information on the BCP processes and plan.</t>
  </si>
  <si>
    <t>SANS Data Management Training v4 (1)</t>
  </si>
  <si>
    <t>Document management system training plan is absent</t>
  </si>
  <si>
    <t>SANS-Weekly_Report-080725_, MOM - SANS - WPU Meeting 1st July 2025</t>
  </si>
  <si>
    <t xml:space="preserve">The report doesn't provide the information on the completion percentages </t>
  </si>
  <si>
    <t>Approved Archiving and Destruction Policy SANS-EAG-POL-01 Ver 02 Apr 2024 (2)</t>
  </si>
  <si>
    <t>DCM.MQ.3 Archiving</t>
  </si>
  <si>
    <t>SANS-CYB-DM-PL-02-SANS-Data Strategic Requirements and Data- Ver.1.0 Mar 2024, DAM.MQ.1, SANS Data Achitecture Assessment v1.0</t>
  </si>
  <si>
    <t>DAMP_PHASE1(P1_P2) project charter (DAM.MQ.1), Data Analytics and Management Platform Program Phase 1 (DAM.MQ.1), PR02 - Technical Evaluation Criteria for High Value (5M and more) (DAM.MQ.1), Technical Evaluation Criteria for High Value (5M and more) (DAM.MQ.1)</t>
  </si>
  <si>
    <t>The provided document is Project Charter, not an implementation progress report</t>
  </si>
  <si>
    <t>Data Sharing Domain covered on a very high level in the Data Management Training. But this cannot be considered as an evidence for this line item, since it requires more detailed training material and training plan.</t>
  </si>
  <si>
    <t>Data steward role is not formalized</t>
  </si>
  <si>
    <t>The provided evidence does not align with NDI requirements. The following  gaps identified :
-No separate process for internal and external data sharing
-Data Sharing Principles assessment is absent.
-No Data Sharing Agreement signing.</t>
  </si>
  <si>
    <t>SANS-CYB-PMM18-FO-01- Data Sharing Request Form- Ver.B - Apr 2025 (1)</t>
  </si>
  <si>
    <t>GACA Forecast Data Request - Letter (DSI.MQ.4)</t>
  </si>
  <si>
    <t>ICD_Diplomatic Clearance System (DCS) (DSI.MQ.3), SANS-RAC-ICD-AODB-FDS V0.1- 05 Nov 2023 (DSI.MQ.3)</t>
  </si>
  <si>
    <t>The provided evidence does not align with NDI requirements. (e.g. source to target mapping, data flows.are missing)</t>
  </si>
  <si>
    <t>Analytics Manager V2</t>
  </si>
  <si>
    <t>The analytics manager's JD is not approved, lack of evidemce for the roles responsible for BIA activities</t>
  </si>
  <si>
    <t>Provided evidence is a screenshot of the dashboard for 'Safety Requirement Implementation plan' which is not the required document.</t>
  </si>
  <si>
    <t>BI Use Cases - BI&amp;A.MQ.2</t>
  </si>
  <si>
    <t>BI Use Cases - BI&amp;A.MQ.2, Power_BI Assessment</t>
  </si>
  <si>
    <t>The provided evidence doesn't cover the current BIA governance processes for data collection, processing, analysis, reporting.</t>
  </si>
  <si>
    <t>Order</t>
  </si>
  <si>
    <t>Current Stakeholders</t>
  </si>
  <si>
    <t>Limited policies exists for 4 domains and not implemented</t>
  </si>
  <si>
    <t>Partially</t>
  </si>
  <si>
    <t>Currently technical stewards are not appointed by systems.</t>
  </si>
  <si>
    <t>A draft version of compliance framework is avaiable</t>
  </si>
  <si>
    <t>NDMO assessment tool  is being used for self-assessment</t>
  </si>
  <si>
    <t>The KPIs have been defined as part of the strategy, however the KPIs are not tracked</t>
  </si>
  <si>
    <t>Data Governance Approvals Register template exist. However the decisions are not documented</t>
  </si>
  <si>
    <t xml:space="preserve"> Issue Tracking Registe template exist. However the data issues are not documented</t>
  </si>
  <si>
    <t xml:space="preserve">SANS-SQE-PMM-01 Quality Management Manual ver.3.4 Dec 2024, SANS-SQE-PMM01-FO-01 Document Change, </t>
  </si>
  <si>
    <t>Data quality activities are conducted reactively, lacking formalized data quality practices and standards</t>
  </si>
  <si>
    <t>Data Architecture and Modeling Policy draft exists</t>
  </si>
  <si>
    <t>BIA domain awareness included in the data management awareness training</t>
  </si>
  <si>
    <t>Draft version available</t>
  </si>
  <si>
    <t>Data Governance &amp; Protection</t>
  </si>
  <si>
    <t>Information Technology</t>
  </si>
  <si>
    <t xml:space="preserve">Safety Quality &amp; Compliance </t>
  </si>
  <si>
    <t>Safety Quality &amp; Compliance</t>
  </si>
  <si>
    <t>Data Governance &amp; Protection
Safety Quality &amp; Compliance</t>
  </si>
  <si>
    <t>Safety Quality &amp; Compliance 
Information Technology</t>
  </si>
  <si>
    <t>Safety Quality &amp; Compliance 
Data Management</t>
  </si>
  <si>
    <t>Data Governance &amp; Protection
Information Technology</t>
  </si>
  <si>
    <t>Information Technology 
Data Management</t>
  </si>
  <si>
    <t xml:space="preserve">Data Management </t>
  </si>
  <si>
    <t>Data Governance &amp; Protection
Data Management</t>
  </si>
  <si>
    <t xml:space="preserve">Data Governance &amp; Protection
Data Management </t>
  </si>
  <si>
    <t>Data Management</t>
  </si>
  <si>
    <t>Information Technology
Data Management</t>
  </si>
  <si>
    <t>Data Governance &amp; Protection
Information Technology
Data Management</t>
  </si>
  <si>
    <t>Safety, Quality &amp; Compliance</t>
  </si>
  <si>
    <t>Could be no relevant to SANS</t>
  </si>
  <si>
    <t>Does not cover all requirements</t>
  </si>
  <si>
    <t>Data has been shared and recived as per the attached letter, however there is no tracking list being conducted</t>
  </si>
  <si>
    <t>GET Information to confirm status</t>
  </si>
  <si>
    <t>Framework defined, but not listed yet.</t>
  </si>
  <si>
    <t>Job descrptions exist with the correct roles, however it is yet to be approved</t>
  </si>
  <si>
    <t>Evidence not found</t>
  </si>
  <si>
    <t>Evidence not found, search for it first, then check if it exists or not</t>
  </si>
  <si>
    <t>Training conducted to full time roles, but not part time roles (Data Owners, Stewards)</t>
  </si>
  <si>
    <r>
      <t xml:space="preserve">SANS-CYB-DM-PL-02-SANS-Data Strategic Requirements and Data- Ver.1.0 Mar 2024 </t>
    </r>
    <r>
      <rPr>
        <b/>
        <sz val="11"/>
        <rFont val="Tajawal"/>
      </rPr>
      <t xml:space="preserve">(previously)
</t>
    </r>
    <r>
      <rPr>
        <sz val="11"/>
        <rFont val="Tajawal"/>
      </rPr>
      <t>SANS Current State Assessment Report</t>
    </r>
    <r>
      <rPr>
        <b/>
        <sz val="11"/>
        <rFont val="Tajawal"/>
      </rPr>
      <t xml:space="preserve"> (Latest)</t>
    </r>
  </si>
  <si>
    <t>All documentation mentioned. Timeline to update dm &amp; pdp policies part of the overall roadmap (Roadmap needs to be updated)</t>
  </si>
  <si>
    <t>Business Data Owner &amp; Stewards
SANS_Target_State_Data_Operating_Model_v 4.0.pdf</t>
  </si>
  <si>
    <t>Training Content Created, but no tracking or list has been developed that mentions the trainings</t>
  </si>
  <si>
    <t>Roadmap needs to be updated to reflect current status</t>
  </si>
  <si>
    <t>Evidence not sufficent to showcase Architecture practiaces. A Data architect has been appointed within the data management team, information needed</t>
  </si>
  <si>
    <t xml:space="preserve">
ROPA Document completed as per requlator recquirement, ROPA is yet to be requested by the Requolator
Real used evidence needs to be added within the Drive</t>
  </si>
  <si>
    <t xml:space="preserve">The current state architecture diagram is in place,however, the evidence documents does not meet all the necessary requirements (e.g. data models, data flows, lineage) </t>
  </si>
  <si>
    <t>SANS Data Achitecture Assessment v1.0</t>
  </si>
  <si>
    <t>The data platform (DAMP) phase 1 solution architecture (highlevel) is in place; however, the evidence document does not meet all the necessary requirements (e.g. data models, data flows, lineage)</t>
  </si>
  <si>
    <t>Awareness programs have been conducted, but no actually plan. The training and awareness plans</t>
  </si>
  <si>
    <t>Need evidence to be shared by SANS</t>
  </si>
  <si>
    <t>13/11/2025</t>
  </si>
  <si>
    <t>RoPA Template, SANS DPIA Tamplate (To use real data template)</t>
  </si>
  <si>
    <t>Process is still in draft stage, and yet is to be approved.</t>
  </si>
  <si>
    <t>Currently marked as not applicable for SANS</t>
  </si>
  <si>
    <t>Needs confirmation of applying version control practiaces within the SANS Portal</t>
  </si>
  <si>
    <t>The Policy does not contain principles, nor references or related policies.</t>
  </si>
  <si>
    <t>List of BI Use Cases needed</t>
  </si>
  <si>
    <t>Job description Data Protection and Privacy section Head has been developed and approved, with additional roles as well</t>
  </si>
  <si>
    <t>Job Description exists within the target operating model, and the list of business stewards have been identified,.
However, the data steward list will need to be updated, and approved by upper management (formal endorsement from the committee)</t>
  </si>
  <si>
    <t>Job Description exists within the target operating model, and the list of data owners have been identified.</t>
  </si>
  <si>
    <t>Business Data Owner &amp; Stewards
SANS_Target_State_Data_Operating_Model_v 4.0.pdf
Steering Committee Presentation - 01272025</t>
  </si>
  <si>
    <t>SANS-CYB-DM-PL-03-Data Strategy Mandate - Ver.1.0 Mar 2024, Page # 2
Strategy and Requirements Socialization</t>
  </si>
  <si>
    <t>An approved data management strategy &amp; roadmap in place, The initiatives must align with NDMO controls for effective strategy execution and compliance monitoring.</t>
  </si>
  <si>
    <r>
      <t xml:space="preserve">There is no designated individual appointed for the CDO role. however the CDO responsibilities are being carried out by  the Cybersecurity, Data Governance, and Data Management Directors. 
</t>
    </r>
    <r>
      <rPr>
        <b/>
        <sz val="11"/>
        <rFont val="Tajawal"/>
      </rPr>
      <t>There needs a confirmation from upper management regarding the decision, or documented within the target operating model</t>
    </r>
  </si>
  <si>
    <r>
      <t xml:space="preserve">There is no appointed Open Data and Information Access Officer; responsibilities are managed by the Data Governance and Compliance Specialist per the approved job description.
</t>
    </r>
    <r>
      <rPr>
        <b/>
        <sz val="11"/>
        <rFont val="Tajawal"/>
      </rPr>
      <t>There needs a confirmation from upper management regarding the decision, or documented within the target operating model</t>
    </r>
  </si>
  <si>
    <t>Though Role exists, it needs to be clearly defined within the operating model</t>
  </si>
  <si>
    <t>There is currently no formal report or documented procedure that defines the monitoring frequency or provides a step by step description of the monitoring process for active systems. A comprehensive monitoring report and formalized process documentation must be developed to ensure full compliance with NDI requirements.</t>
  </si>
  <si>
    <t>Although database monitoring activities are being performed and are aligned with NDMO requirements with respect to query execution performance, they do not cover the remaining minimum requirements.</t>
  </si>
  <si>
    <t>Need confirmation on each item</t>
  </si>
  <si>
    <t>Check if DCM Project covers staff training</t>
  </si>
  <si>
    <t>Screenshots of DMS needed</t>
  </si>
  <si>
    <t>Roadmap needs to be updated to include summarized architecture briefs</t>
  </si>
  <si>
    <t>Data Governance &amp; Protection
Safety Quality &amp; Compliance
Data Management</t>
  </si>
  <si>
    <t>Safety Quality &amp; Compliance
Data Management</t>
  </si>
  <si>
    <t>Safety Quality &amp; Compliance
Data Management</t>
  </si>
  <si>
    <t>Data Governance &amp; Protection
Information Technology 
Data Management</t>
  </si>
  <si>
    <t>Data Management
Information Technology</t>
  </si>
  <si>
    <t>NDMO &amp; NDI Questionnaire for Data Management</t>
  </si>
  <si>
    <t>Safety Quality &amp; Compliance
Information Technology</t>
  </si>
  <si>
    <t>Data Management 
Safety Quality &amp;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</si>
</sst>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00%"/>
    <numFmt numFmtId="165" formatCode="0.0"/>
    <numFmt numFmtId="167" formatCode="0.0%"/>
  </numFmts>
  <fonts count="35">
    <font>
      <sz val="11"/>
      <color theme="1"/>
      <name val="Aptos Narrow"/>
      <family val="2"/>
      <scheme val="minor"/>
    </font>
    <font>
      <sz val="11"/>
      <color theme="1"/>
      <name val="Aptos Narrow"/>
      <family val="2"/>
      <scheme val="minor"/>
    </font>
    <font>
      <sz val="11"/>
      <color indexed="8"/>
      <name val="Calibri"/>
      <family val="2"/>
    </font>
    <font>
      <sz val="10"/>
      <name val="Arial"/>
      <family val="2"/>
    </font>
    <font>
      <sz val="10"/>
      <color theme="1"/>
      <name val="Verdana"/>
      <family val="2"/>
    </font>
    <font>
      <sz val="10"/>
      <color theme="1"/>
      <name val="Arial"/>
      <family val="2"/>
    </font>
    <font>
      <sz val="11"/>
      <color rgb="FF000000"/>
      <name val="Aptos Narrow"/>
      <family val="2"/>
      <scheme val="minor"/>
    </font>
    <font>
      <sz val="10"/>
      <color theme="1"/>
      <name val="Calibri"/>
      <family val="2"/>
    </font>
    <font>
      <b/>
      <sz val="24"/>
      <color rgb="FFFFFFFF"/>
      <name val="Tajawal"/>
    </font>
    <font>
      <b/>
      <sz val="10"/>
      <color theme="0"/>
      <name val="Tajawal"/>
    </font>
    <font>
      <sz val="11"/>
      <color theme="1"/>
      <name val="Tajawal"/>
    </font>
    <font>
      <b/>
      <sz val="11"/>
      <color theme="0"/>
      <name val="Tajawal"/>
    </font>
    <font>
      <sz val="11"/>
      <color theme="0"/>
      <name val="Tajawal"/>
    </font>
    <font>
      <sz val="11"/>
      <name val="Tajawal"/>
    </font>
    <font>
      <b/>
      <sz val="11"/>
      <name val="Tajawal"/>
    </font>
    <font>
      <b/>
      <sz val="11"/>
      <color theme="1"/>
      <name val="Tajawal"/>
    </font>
    <font>
      <b/>
      <sz val="22"/>
      <color theme="1"/>
      <name val="Tajawal"/>
    </font>
    <font>
      <sz val="11"/>
      <color rgb="FF000000"/>
      <name val="Tajawal"/>
    </font>
    <font>
      <b/>
      <sz val="11"/>
      <color rgb="FFFFFFFF"/>
      <name val="Tajawal"/>
    </font>
    <font>
      <sz val="11"/>
      <color rgb="FFFFFFFF"/>
      <name val="Tajawal"/>
    </font>
    <font>
      <b/>
      <sz val="11"/>
      <color rgb="FF000000"/>
      <name val="Tajawal"/>
    </font>
    <font>
      <b/>
      <sz val="10"/>
      <color theme="1"/>
      <name val="Arial"/>
      <family val="2"/>
    </font>
    <font>
      <b/>
      <sz val="10"/>
      <name val="Arial"/>
      <family val="2"/>
    </font>
    <font>
      <sz val="10"/>
      <color rgb="FF000000"/>
      <name val="Arial"/>
      <family val="2"/>
    </font>
    <font>
      <sz val="11"/>
      <color theme="1"/>
      <name val="Arial"/>
      <family val="2"/>
    </font>
    <font>
      <b/>
      <sz val="11"/>
      <color rgb="FFFFFFFF"/>
      <name val="Arial"/>
      <family val="2"/>
    </font>
    <font>
      <b/>
      <sz val="12"/>
      <color theme="0"/>
      <name val="Arial"/>
      <family val="2"/>
    </font>
    <font>
      <b/>
      <sz val="10"/>
      <color theme="1"/>
      <name val="Tajawal"/>
    </font>
    <font>
      <b/>
      <sz val="11"/>
      <color rgb="FFC00000"/>
      <name val="Tajawal"/>
    </font>
    <font>
      <sz val="8"/>
      <name val="Aptos Narrow"/>
      <family val="2"/>
      <scheme val="minor"/>
    </font>
    <font>
      <sz val="16"/>
      <color rgb="FF000000"/>
      <name val="Tajawal"/>
    </font>
    <font>
      <b/>
      <sz val="16"/>
      <color theme="1"/>
      <name val="Tajawal"/>
    </font>
    <font>
      <b/>
      <sz val="9"/>
      <color theme="0"/>
      <name val="Tajawal"/>
    </font>
    <font>
      <b/>
      <i/>
      <sz val="11"/>
      <name val="Tajawal"/>
    </font>
    <font>
      <sz val="16"/>
      <color theme="1"/>
      <name val="Aptos Narrow"/>
      <family val="2"/>
      <scheme val="minor"/>
    </font>
  </fonts>
  <fills count="37">
    <fill>
      <patternFill patternType="none"/>
    </fill>
    <fill>
      <patternFill patternType="gray125"/>
    </fill>
    <fill>
      <patternFill patternType="solid">
        <fgColor rgb="FF002657"/>
        <bgColor indexed="64"/>
      </patternFill>
    </fill>
    <fill>
      <patternFill patternType="solid">
        <fgColor rgb="FF00B2BA"/>
        <bgColor indexed="64"/>
      </patternFill>
    </fill>
    <fill>
      <patternFill patternType="solid">
        <fgColor rgb="FFF0853D"/>
        <bgColor indexed="64"/>
      </patternFill>
    </fill>
    <fill>
      <patternFill patternType="solid">
        <fgColor rgb="FF373E82"/>
        <bgColor indexed="64"/>
      </patternFill>
    </fill>
    <fill>
      <patternFill patternType="solid">
        <fgColor rgb="FF67A4DA"/>
        <bgColor indexed="64"/>
      </patternFill>
    </fill>
    <fill>
      <patternFill patternType="solid">
        <fgColor rgb="FF319392"/>
        <bgColor indexed="64"/>
      </patternFill>
    </fill>
    <fill>
      <patternFill patternType="solid">
        <fgColor rgb="FF76BE6C"/>
        <bgColor indexed="64"/>
      </patternFill>
    </fill>
    <fill>
      <patternFill patternType="solid">
        <fgColor rgb="FFFFFF00"/>
        <bgColor indexed="64"/>
      </patternFill>
    </fill>
    <fill>
      <patternFill patternType="solid">
        <fgColor rgb="FFD66555"/>
        <bgColor rgb="FF000000"/>
      </patternFill>
    </fill>
    <fill>
      <patternFill patternType="solid">
        <fgColor rgb="FFF0853D"/>
        <bgColor rgb="FF000000"/>
      </patternFill>
    </fill>
    <fill>
      <patternFill patternType="solid">
        <fgColor rgb="FF373E82"/>
        <bgColor rgb="FF000000"/>
      </patternFill>
    </fill>
    <fill>
      <patternFill patternType="solid">
        <fgColor rgb="FF67A4DA"/>
        <bgColor rgb="FF000000"/>
      </patternFill>
    </fill>
    <fill>
      <patternFill patternType="solid">
        <fgColor rgb="FF319392"/>
        <bgColor rgb="FF000000"/>
      </patternFill>
    </fill>
    <fill>
      <patternFill patternType="solid">
        <fgColor rgb="FF76BE6C"/>
        <bgColor rgb="FF000000"/>
      </patternFill>
    </fill>
    <fill>
      <patternFill patternType="solid">
        <fgColor rgb="FF002657"/>
        <bgColor rgb="FF000000"/>
      </patternFill>
    </fill>
    <fill>
      <patternFill patternType="solid">
        <fgColor rgb="FF00B2BA"/>
        <bgColor rgb="FF000000"/>
      </patternFill>
    </fill>
    <fill>
      <patternFill patternType="solid">
        <fgColor theme="3" tint="0.89999084444715716"/>
        <bgColor rgb="FF000000"/>
      </patternFill>
    </fill>
    <fill>
      <patternFill patternType="solid">
        <fgColor theme="1"/>
        <bgColor indexed="64"/>
      </patternFill>
    </fill>
    <fill>
      <patternFill patternType="solid">
        <fgColor theme="4"/>
        <bgColor indexed="64"/>
      </patternFill>
    </fill>
    <fill>
      <patternFill patternType="solid">
        <fgColor rgb="FFD66555"/>
        <bgColor indexed="64"/>
      </patternFill>
    </fill>
    <fill>
      <patternFill patternType="solid">
        <fgColor rgb="FF92D050"/>
        <bgColor indexed="64"/>
      </patternFill>
    </fill>
    <fill>
      <patternFill patternType="solid">
        <fgColor theme="7" tint="0.79998168889431442"/>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rgb="FF00B050"/>
        <bgColor indexed="64"/>
      </patternFill>
    </fill>
    <fill>
      <patternFill patternType="solid">
        <fgColor theme="3"/>
        <bgColor indexed="64"/>
      </patternFill>
    </fill>
    <fill>
      <patternFill patternType="solid">
        <fgColor theme="7"/>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C000"/>
        <bgColor indexed="64"/>
      </patternFill>
    </fill>
    <fill>
      <patternFill patternType="solid">
        <fgColor rgb="FF1AC082"/>
        <bgColor indexed="64"/>
      </patternFill>
    </fill>
    <fill>
      <patternFill patternType="solid">
        <fgColor rgb="FFFF5B5B"/>
        <bgColor indexed="64"/>
      </patternFill>
    </fill>
    <fill>
      <patternFill patternType="solid">
        <fgColor theme="8" tint="0.79998168889431442"/>
        <bgColor indexed="64"/>
      </patternFill>
    </fill>
    <fill>
      <patternFill patternType="solid">
        <fgColor rgb="FF62B6F3"/>
        <bgColor indexed="64"/>
      </patternFill>
    </fill>
  </fills>
  <borders count="68">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2"/>
      </left>
      <right style="thin">
        <color theme="2"/>
      </right>
      <top style="thin">
        <color theme="2"/>
      </top>
      <bottom/>
      <diagonal/>
    </border>
    <border>
      <left style="thin">
        <color theme="2"/>
      </left>
      <right style="thin">
        <color theme="2"/>
      </right>
      <top style="thin">
        <color rgb="FFAAAAAA"/>
      </top>
      <bottom style="thin">
        <color them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rgb="FFAAAAAA"/>
      </top>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style="thin">
        <color theme="2"/>
      </left>
      <right/>
      <top style="thin">
        <color theme="2"/>
      </top>
      <bottom style="thin">
        <color theme="2"/>
      </bottom>
      <diagonal/>
    </border>
    <border>
      <left style="thin">
        <color theme="1"/>
      </left>
      <right/>
      <top/>
      <bottom/>
      <diagonal/>
    </border>
    <border>
      <left style="thin">
        <color theme="1"/>
      </left>
      <right/>
      <top/>
      <bottom style="thin">
        <color theme="1"/>
      </bottom>
      <diagonal/>
    </border>
    <border>
      <left/>
      <right/>
      <top style="thin">
        <color theme="1"/>
      </top>
      <bottom/>
      <diagonal/>
    </border>
    <border>
      <left style="thin">
        <color theme="1"/>
      </left>
      <right/>
      <top style="thin">
        <color theme="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style="thin">
        <color theme="0" tint="-0.14999847407452621"/>
      </right>
      <top style="thin">
        <color theme="0" tint="-0.14999847407452621"/>
      </top>
      <bottom style="thin">
        <color theme="0" tint="-0.149998474074526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0" tint="-0.14999847407452621"/>
      </left>
      <right style="thin">
        <color theme="0" tint="-0.14999847407452621"/>
      </right>
      <top style="thin">
        <color theme="0" tint="-0.14999847407452621"/>
      </top>
      <bottom/>
      <diagonal/>
    </border>
    <border>
      <left/>
      <right/>
      <top/>
      <bottom style="medium">
        <color theme="1"/>
      </bottom>
      <diagonal/>
    </border>
    <border>
      <left style="medium">
        <color theme="1"/>
      </left>
      <right/>
      <top/>
      <bottom/>
      <diagonal/>
    </border>
    <border>
      <left/>
      <right style="medium">
        <color theme="1"/>
      </right>
      <top/>
      <bottom/>
      <diagonal/>
    </border>
    <border>
      <left/>
      <right style="medium">
        <color theme="1"/>
      </right>
      <top/>
      <bottom style="medium">
        <color theme="1"/>
      </bottom>
      <diagonal/>
    </border>
    <border>
      <left style="medium">
        <color theme="1"/>
      </left>
      <right/>
      <top/>
      <bottom style="medium">
        <color theme="1"/>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medium">
        <color theme="1"/>
      </left>
      <right style="thin">
        <color theme="2" tint="-0.249977111117893"/>
      </right>
      <top style="medium">
        <color theme="1"/>
      </top>
      <bottom style="thin">
        <color theme="2" tint="-0.249977111117893"/>
      </bottom>
      <diagonal/>
    </border>
    <border>
      <left style="thin">
        <color theme="2" tint="-0.249977111117893"/>
      </left>
      <right style="thin">
        <color theme="2" tint="-0.249977111117893"/>
      </right>
      <top style="medium">
        <color theme="1"/>
      </top>
      <bottom style="thin">
        <color theme="2" tint="-0.249977111117893"/>
      </bottom>
      <diagonal/>
    </border>
    <border>
      <left style="thin">
        <color theme="2" tint="-0.249977111117893"/>
      </left>
      <right style="medium">
        <color theme="1"/>
      </right>
      <top style="medium">
        <color theme="1"/>
      </top>
      <bottom style="thin">
        <color theme="2" tint="-0.249977111117893"/>
      </bottom>
      <diagonal/>
    </border>
    <border>
      <left style="medium">
        <color theme="1"/>
      </left>
      <right style="thin">
        <color theme="2" tint="-0.249977111117893"/>
      </right>
      <top style="thin">
        <color theme="2" tint="-0.249977111117893"/>
      </top>
      <bottom style="thin">
        <color theme="2" tint="-0.249977111117893"/>
      </bottom>
      <diagonal/>
    </border>
    <border>
      <left style="thin">
        <color theme="2" tint="-0.249977111117893"/>
      </left>
      <right style="medium">
        <color theme="1"/>
      </right>
      <top style="thin">
        <color theme="2" tint="-0.249977111117893"/>
      </top>
      <bottom style="thin">
        <color theme="2" tint="-0.249977111117893"/>
      </bottom>
      <diagonal/>
    </border>
    <border>
      <left style="medium">
        <color theme="1"/>
      </left>
      <right style="thin">
        <color theme="2" tint="-0.249977111117893"/>
      </right>
      <top style="thin">
        <color theme="2" tint="-0.249977111117893"/>
      </top>
      <bottom style="medium">
        <color theme="1"/>
      </bottom>
      <diagonal/>
    </border>
    <border>
      <left style="thin">
        <color theme="2" tint="-0.249977111117893"/>
      </left>
      <right style="thin">
        <color theme="2" tint="-0.249977111117893"/>
      </right>
      <top style="thin">
        <color theme="2" tint="-0.249977111117893"/>
      </top>
      <bottom style="medium">
        <color theme="1"/>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diagonal/>
    </border>
    <border>
      <left style="thin">
        <color theme="2" tint="-9.9978637043366805E-2"/>
      </left>
      <right style="thin">
        <color theme="2" tint="-9.9978637043366805E-2"/>
      </right>
      <top/>
      <bottom style="thin">
        <color theme="2" tint="-9.9978637043366805E-2"/>
      </bottom>
      <diagonal/>
    </border>
    <border>
      <left style="medium">
        <color theme="1"/>
      </left>
      <right style="thin">
        <color theme="2" tint="-0.249977111117893"/>
      </right>
      <top style="thin">
        <color theme="2" tint="-0.249977111117893"/>
      </top>
      <bottom/>
      <diagonal/>
    </border>
    <border>
      <left style="medium">
        <color theme="1"/>
      </left>
      <right style="thin">
        <color theme="2" tint="-0.249977111117893"/>
      </right>
      <top/>
      <bottom/>
      <diagonal/>
    </border>
    <border>
      <left style="medium">
        <color theme="1"/>
      </left>
      <right style="thin">
        <color theme="2" tint="-0.249977111117893"/>
      </right>
      <top/>
      <bottom style="thin">
        <color theme="2" tint="-0.249977111117893"/>
      </bottom>
      <diagonal/>
    </border>
    <border>
      <left style="thin">
        <color theme="2" tint="-9.9978637043366805E-2"/>
      </left>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bottom/>
      <diagonal/>
    </border>
    <border>
      <left style="thin">
        <color theme="2" tint="-9.9978637043366805E-2"/>
      </left>
      <right/>
      <top style="thin">
        <color theme="2" tint="-9.9978637043366805E-2"/>
      </top>
      <bottom/>
      <diagonal/>
    </border>
    <border>
      <left style="thin">
        <color theme="2" tint="-9.9978637043366805E-2"/>
      </left>
      <right/>
      <top/>
      <bottom style="thin">
        <color theme="2" tint="-9.9978637043366805E-2"/>
      </bottom>
      <diagonal/>
    </border>
    <border>
      <left/>
      <right style="medium">
        <color indexed="64"/>
      </right>
      <top style="thin">
        <color theme="2" tint="-9.9978637043366805E-2"/>
      </top>
      <bottom style="thin">
        <color theme="2" tint="-9.9978637043366805E-2"/>
      </bottom>
      <diagonal/>
    </border>
    <border>
      <left style="thin">
        <color theme="2" tint="-9.9978637043366805E-2"/>
      </left>
      <right style="medium">
        <color indexed="64"/>
      </right>
      <top style="thin">
        <color theme="2" tint="-9.9978637043366805E-2"/>
      </top>
      <bottom style="thin">
        <color theme="2" tint="-9.9978637043366805E-2"/>
      </bottom>
      <diagonal/>
    </border>
    <border>
      <left style="medium">
        <color indexed="64"/>
      </left>
      <right/>
      <top style="thin">
        <color theme="1"/>
      </top>
      <bottom style="medium">
        <color indexed="64"/>
      </bottom>
      <diagonal/>
    </border>
    <border>
      <left/>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top style="thin">
        <color theme="2" tint="-9.9978637043366805E-2"/>
      </top>
      <bottom style="thin">
        <color theme="2" tint="-9.9978637043366805E-2"/>
      </bottom>
      <diagonal/>
    </border>
    <border>
      <left style="medium">
        <color indexed="64"/>
      </left>
      <right/>
      <top style="thin">
        <color theme="2" tint="-9.9978637043366805E-2"/>
      </top>
      <bottom style="medium">
        <color indexed="64"/>
      </bottom>
      <diagonal/>
    </border>
    <border>
      <left/>
      <right/>
      <top style="thin">
        <color theme="2" tint="-9.9978637043366805E-2"/>
      </top>
      <bottom style="medium">
        <color indexed="64"/>
      </bottom>
      <diagonal/>
    </border>
    <border>
      <left/>
      <right style="medium">
        <color indexed="64"/>
      </right>
      <top style="thin">
        <color theme="2" tint="-9.9978637043366805E-2"/>
      </top>
      <bottom style="medium">
        <color indexed="64"/>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s>
  <cellStyleXfs count="11">
    <xf numFmtId="0" fontId="0" fillId="0" borderId="0"/>
    <xf numFmtId="0" fontId="2" fillId="0" borderId="0"/>
    <xf numFmtId="0" fontId="1" fillId="0" borderId="0"/>
    <xf numFmtId="0" fontId="4" fillId="0" borderId="0"/>
    <xf numFmtId="0" fontId="3" fillId="0" borderId="0"/>
    <xf numFmtId="0" fontId="3" fillId="0" borderId="0"/>
    <xf numFmtId="0" fontId="5" fillId="0" borderId="0"/>
    <xf numFmtId="0" fontId="6" fillId="0" borderId="0"/>
    <xf numFmtId="43" fontId="1" fillId="0" borderId="0" applyFont="0" applyFill="0" applyBorder="0" applyAlignment="0" applyProtection="0"/>
    <xf numFmtId="0" fontId="7" fillId="0" borderId="0"/>
    <xf numFmtId="9" fontId="1" fillId="0" borderId="0" applyFont="0" applyFill="0" applyBorder="0" applyAlignment="0" applyProtection="0"/>
  </cellStyleXfs>
  <cellXfs count="316">
    <xf numFmtId="0" fontId="0" fillId="0" borderId="0" xfId="0"/>
    <xf numFmtId="0" fontId="13" fillId="0" borderId="3" xfId="0" applyFont="1" applyBorder="1" applyAlignment="1">
      <alignment vertical="center" wrapText="1"/>
    </xf>
    <xf numFmtId="0" fontId="13" fillId="0" borderId="5" xfId="0" applyFont="1" applyBorder="1" applyAlignment="1">
      <alignment vertical="center" wrapText="1"/>
    </xf>
    <xf numFmtId="0" fontId="10" fillId="0" borderId="1" xfId="0" applyFont="1" applyBorder="1" applyAlignment="1">
      <alignment horizontal="center" vertical="center"/>
    </xf>
    <xf numFmtId="0" fontId="13" fillId="0" borderId="1" xfId="0" applyFont="1" applyBorder="1" applyAlignment="1">
      <alignment horizontal="left" vertical="center" wrapText="1"/>
    </xf>
    <xf numFmtId="0" fontId="14" fillId="0" borderId="1" xfId="0" applyFont="1" applyBorder="1" applyAlignment="1" applyProtection="1">
      <alignment horizontal="center" vertical="center" wrapText="1"/>
      <protection locked="0"/>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7" borderId="1" xfId="0" applyFont="1" applyFill="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4" fillId="9" borderId="1" xfId="0" applyFont="1" applyFill="1" applyBorder="1" applyAlignment="1" applyProtection="1">
      <alignment horizontal="center" vertical="center" wrapText="1"/>
      <protection locked="0"/>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13" fillId="0" borderId="1" xfId="0" applyFont="1" applyBorder="1" applyAlignment="1">
      <alignment vertical="center" wrapText="1"/>
    </xf>
    <xf numFmtId="0" fontId="10" fillId="0" borderId="1" xfId="0" applyFont="1" applyBorder="1" applyAlignment="1">
      <alignment horizontal="center" vertical="center" wrapText="1"/>
    </xf>
    <xf numFmtId="0" fontId="13" fillId="0" borderId="9" xfId="0" applyFont="1" applyBorder="1" applyAlignment="1">
      <alignment horizontal="left" vertical="center" wrapText="1"/>
    </xf>
    <xf numFmtId="0" fontId="13" fillId="0" borderId="4" xfId="0" applyFont="1" applyBorder="1" applyAlignment="1">
      <alignment horizontal="left" vertical="center" wrapText="1"/>
    </xf>
    <xf numFmtId="0" fontId="11" fillId="4" borderId="4"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10" fillId="0" borderId="1" xfId="0" applyFont="1" applyBorder="1" applyAlignment="1">
      <alignment horizontal="left" vertical="center" wrapText="1"/>
    </xf>
    <xf numFmtId="0" fontId="16"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7" fillId="0" borderId="0" xfId="0" applyFont="1" applyAlignment="1">
      <alignment vertical="center"/>
    </xf>
    <xf numFmtId="2" fontId="17" fillId="0" borderId="0" xfId="0" applyNumberFormat="1" applyFont="1" applyAlignment="1">
      <alignment horizontal="center" vertical="center"/>
    </xf>
    <xf numFmtId="0" fontId="10" fillId="0" borderId="5" xfId="0" applyFont="1" applyBorder="1" applyAlignment="1">
      <alignment vertical="center" wrapText="1"/>
    </xf>
    <xf numFmtId="0" fontId="10" fillId="0" borderId="1" xfId="0" applyFont="1" applyBorder="1" applyAlignment="1">
      <alignment vertical="center" wrapText="1"/>
    </xf>
    <xf numFmtId="0" fontId="10" fillId="0" borderId="19"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horizontal="center"/>
    </xf>
    <xf numFmtId="0" fontId="10" fillId="0" borderId="18" xfId="0" applyFont="1" applyBorder="1" applyAlignment="1">
      <alignment horizontal="center" vertical="center"/>
    </xf>
    <xf numFmtId="0" fontId="22" fillId="0" borderId="23" xfId="0" applyFont="1" applyBorder="1" applyAlignment="1">
      <alignment horizontal="center" vertical="center" wrapText="1"/>
    </xf>
    <xf numFmtId="0" fontId="23" fillId="0" borderId="23" xfId="0" applyFont="1" applyBorder="1" applyAlignment="1">
      <alignment horizontal="left" vertical="center" wrapText="1"/>
    </xf>
    <xf numFmtId="0" fontId="3" fillId="0" borderId="23" xfId="0" applyFont="1" applyBorder="1" applyAlignment="1">
      <alignment horizontal="center" vertical="center" wrapText="1"/>
    </xf>
    <xf numFmtId="0" fontId="24" fillId="0" borderId="23" xfId="0" applyFont="1" applyBorder="1" applyAlignment="1">
      <alignment horizontal="center" vertical="center" wrapText="1"/>
    </xf>
    <xf numFmtId="0" fontId="0" fillId="22" borderId="0" xfId="0" applyFill="1"/>
    <xf numFmtId="0" fontId="21" fillId="23" borderId="23" xfId="0" applyFont="1" applyFill="1" applyBorder="1" applyAlignment="1">
      <alignment horizontal="center" vertical="center" wrapText="1"/>
    </xf>
    <xf numFmtId="0" fontId="10" fillId="0" borderId="0" xfId="0" applyFont="1"/>
    <xf numFmtId="0" fontId="0" fillId="0" borderId="0" xfId="0" pivotButton="1"/>
    <xf numFmtId="0" fontId="0" fillId="0" borderId="0" xfId="0" applyAlignment="1">
      <alignment horizontal="left"/>
    </xf>
    <xf numFmtId="0" fontId="9" fillId="24" borderId="7" xfId="0" applyFont="1" applyFill="1" applyBorder="1" applyAlignment="1">
      <alignment horizontal="center" vertical="center" wrapText="1"/>
    </xf>
    <xf numFmtId="0" fontId="0" fillId="22" borderId="0" xfId="0" applyFill="1" applyAlignment="1">
      <alignment horizontal="left"/>
    </xf>
    <xf numFmtId="0" fontId="10" fillId="25" borderId="0" xfId="0" applyFont="1" applyFill="1"/>
    <xf numFmtId="1" fontId="11" fillId="21" borderId="0" xfId="0" applyNumberFormat="1" applyFont="1" applyFill="1" applyAlignment="1">
      <alignment horizontal="center" vertical="center"/>
    </xf>
    <xf numFmtId="1" fontId="11" fillId="4" borderId="0" xfId="0" applyNumberFormat="1" applyFont="1" applyFill="1" applyAlignment="1">
      <alignment horizontal="center" vertical="center"/>
    </xf>
    <xf numFmtId="1" fontId="11" fillId="5" borderId="0" xfId="0" applyNumberFormat="1" applyFont="1" applyFill="1" applyAlignment="1">
      <alignment horizontal="center" vertical="center"/>
    </xf>
    <xf numFmtId="1" fontId="11" fillId="6" borderId="0" xfId="0" applyNumberFormat="1" applyFont="1" applyFill="1" applyAlignment="1">
      <alignment horizontal="center" vertical="center"/>
    </xf>
    <xf numFmtId="1" fontId="11" fillId="7" borderId="0" xfId="0" applyNumberFormat="1" applyFont="1" applyFill="1" applyAlignment="1">
      <alignment horizontal="center" vertical="center"/>
    </xf>
    <xf numFmtId="1" fontId="11" fillId="8" borderId="0" xfId="0" applyNumberFormat="1" applyFont="1" applyFill="1" applyAlignment="1">
      <alignment horizontal="center" vertical="center"/>
    </xf>
    <xf numFmtId="0" fontId="11" fillId="19" borderId="17" xfId="0" applyFont="1" applyFill="1" applyBorder="1" applyAlignment="1">
      <alignment horizontal="center" vertical="center"/>
    </xf>
    <xf numFmtId="0" fontId="12" fillId="20" borderId="18" xfId="0" applyFont="1" applyFill="1" applyBorder="1" applyAlignment="1">
      <alignment horizontal="center" vertical="center"/>
    </xf>
    <xf numFmtId="0" fontId="12" fillId="20" borderId="0" xfId="0" applyFont="1" applyFill="1" applyAlignment="1">
      <alignment horizontal="center" vertical="center"/>
    </xf>
    <xf numFmtId="0" fontId="12" fillId="20" borderId="17" xfId="0" applyFont="1" applyFill="1" applyBorder="1" applyAlignment="1">
      <alignment horizontal="center" vertical="center"/>
    </xf>
    <xf numFmtId="0" fontId="10" fillId="0" borderId="17" xfId="0" applyFont="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center" vertical="center" wrapText="1"/>
    </xf>
    <xf numFmtId="0" fontId="10" fillId="0" borderId="0" xfId="0" quotePrefix="1" applyFont="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28" fillId="0" borderId="12" xfId="0" applyFont="1" applyBorder="1" applyAlignment="1">
      <alignment horizontal="center"/>
    </xf>
    <xf numFmtId="0" fontId="28" fillId="0" borderId="12" xfId="0" applyFont="1" applyBorder="1" applyAlignment="1">
      <alignment horizontal="center" vertical="center"/>
    </xf>
    <xf numFmtId="0" fontId="28" fillId="0" borderId="13" xfId="0" applyFont="1" applyBorder="1" applyAlignment="1">
      <alignment horizontal="center" vertical="center"/>
    </xf>
    <xf numFmtId="0" fontId="10" fillId="0" borderId="22" xfId="0" applyFont="1" applyBorder="1" applyAlignment="1">
      <alignment horizontal="center" vertical="center"/>
    </xf>
    <xf numFmtId="0" fontId="0" fillId="0" borderId="0" xfId="0" applyAlignment="1">
      <alignment horizontal="center"/>
    </xf>
    <xf numFmtId="10" fontId="10" fillId="0" borderId="0" xfId="0" applyNumberFormat="1" applyFont="1" applyAlignment="1">
      <alignment horizontal="center" vertical="center"/>
    </xf>
    <xf numFmtId="0" fontId="10" fillId="0" borderId="0" xfId="0" applyFont="1" applyAlignment="1">
      <alignment horizontal="center"/>
    </xf>
    <xf numFmtId="0" fontId="12" fillId="0" borderId="0" xfId="0" applyFont="1" applyAlignment="1">
      <alignment horizontal="center" vertical="center"/>
    </xf>
    <xf numFmtId="0" fontId="10" fillId="0" borderId="27" xfId="0" applyFont="1" applyBorder="1" applyAlignment="1">
      <alignment horizontal="center" vertical="center"/>
    </xf>
    <xf numFmtId="0" fontId="10" fillId="0" borderId="29" xfId="0" applyFont="1" applyBorder="1" applyAlignment="1">
      <alignment horizontal="left" vertical="center"/>
    </xf>
    <xf numFmtId="0" fontId="10" fillId="0" borderId="28" xfId="0" applyFont="1" applyBorder="1" applyAlignment="1">
      <alignment horizontal="center" vertical="center"/>
    </xf>
    <xf numFmtId="9" fontId="10" fillId="0" borderId="0" xfId="0" applyNumberFormat="1" applyFont="1" applyAlignment="1">
      <alignment horizontal="center" vertical="center"/>
    </xf>
    <xf numFmtId="10" fontId="10" fillId="0" borderId="0" xfId="0" applyNumberFormat="1" applyFont="1"/>
    <xf numFmtId="164" fontId="10" fillId="0" borderId="0" xfId="0" applyNumberFormat="1" applyFont="1" applyAlignment="1">
      <alignment horizontal="center" vertical="center"/>
    </xf>
    <xf numFmtId="0" fontId="10" fillId="27" borderId="0" xfId="0" applyFont="1" applyFill="1" applyAlignment="1">
      <alignment horizontal="center" vertical="center"/>
    </xf>
    <xf numFmtId="0" fontId="19" fillId="15" borderId="0" xfId="0" applyFont="1" applyFill="1" applyAlignment="1">
      <alignment horizontal="center" vertical="center" wrapText="1"/>
    </xf>
    <xf numFmtId="0" fontId="18" fillId="15" borderId="0" xfId="0" applyFont="1" applyFill="1" applyAlignment="1">
      <alignment horizontal="center" vertical="center" wrapText="1"/>
    </xf>
    <xf numFmtId="0" fontId="11" fillId="17" borderId="34" xfId="0" applyFont="1" applyFill="1" applyBorder="1" applyAlignment="1">
      <alignment horizontal="center" vertical="center" textRotation="90" wrapText="1"/>
    </xf>
    <xf numFmtId="0" fontId="20" fillId="18" borderId="34" xfId="0" applyFont="1" applyFill="1" applyBorder="1" applyAlignment="1">
      <alignment vertical="center" wrapText="1"/>
    </xf>
    <xf numFmtId="0" fontId="17" fillId="0" borderId="34" xfId="0" applyFont="1" applyBorder="1" applyAlignment="1">
      <alignment vertical="center" wrapText="1"/>
    </xf>
    <xf numFmtId="0" fontId="11" fillId="17" borderId="34" xfId="0" applyFont="1" applyFill="1" applyBorder="1" applyAlignment="1">
      <alignment horizontal="center" vertical="center" textRotation="90"/>
    </xf>
    <xf numFmtId="0" fontId="17" fillId="0" borderId="34" xfId="0" quotePrefix="1" applyFont="1" applyBorder="1" applyAlignment="1">
      <alignment vertical="center" wrapText="1"/>
    </xf>
    <xf numFmtId="0" fontId="17" fillId="0" borderId="35" xfId="0" applyFont="1" applyBorder="1" applyAlignment="1">
      <alignment vertical="center" wrapText="1"/>
    </xf>
    <xf numFmtId="0" fontId="19" fillId="10" borderId="0" xfId="0" applyFont="1" applyFill="1" applyAlignment="1">
      <alignment horizontal="center" vertical="center" wrapText="1"/>
    </xf>
    <xf numFmtId="0" fontId="19" fillId="11" borderId="0" xfId="0" applyFont="1" applyFill="1" applyAlignment="1">
      <alignment horizontal="center" vertical="center" wrapText="1"/>
    </xf>
    <xf numFmtId="0" fontId="19" fillId="12" borderId="0" xfId="0" applyFont="1" applyFill="1" applyAlignment="1">
      <alignment horizontal="center" vertical="center" wrapText="1"/>
    </xf>
    <xf numFmtId="0" fontId="19" fillId="13" borderId="0" xfId="0" applyFont="1" applyFill="1" applyAlignment="1">
      <alignment horizontal="center" vertical="center" wrapText="1"/>
    </xf>
    <xf numFmtId="0" fontId="19" fillId="14" borderId="0" xfId="0" applyFont="1" applyFill="1" applyAlignment="1">
      <alignment horizontal="center" vertical="center" wrapText="1"/>
    </xf>
    <xf numFmtId="0" fontId="18" fillId="10" borderId="0" xfId="0" applyFont="1" applyFill="1" applyAlignment="1">
      <alignment horizontal="center" vertical="center" wrapText="1"/>
    </xf>
    <xf numFmtId="0" fontId="18" fillId="11" borderId="0" xfId="0" applyFont="1" applyFill="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18" fillId="14" borderId="0" xfId="0" applyFont="1" applyFill="1" applyAlignment="1">
      <alignment horizontal="center" vertical="center" wrapText="1"/>
    </xf>
    <xf numFmtId="0" fontId="11" fillId="17" borderId="42" xfId="0" applyFont="1" applyFill="1" applyBorder="1" applyAlignment="1">
      <alignment horizontal="center" vertical="center" textRotation="90" wrapText="1"/>
    </xf>
    <xf numFmtId="0" fontId="20" fillId="18" borderId="42" xfId="0" applyFont="1" applyFill="1" applyBorder="1" applyAlignment="1">
      <alignment vertical="center" wrapText="1"/>
    </xf>
    <xf numFmtId="0" fontId="17" fillId="0" borderId="42" xfId="0" applyFont="1" applyBorder="1" applyAlignment="1">
      <alignment vertical="center" wrapText="1"/>
    </xf>
    <xf numFmtId="0" fontId="17" fillId="0" borderId="42" xfId="0" quotePrefix="1" applyFont="1" applyBorder="1" applyAlignment="1">
      <alignment vertical="center" wrapText="1"/>
    </xf>
    <xf numFmtId="1" fontId="30" fillId="0" borderId="40" xfId="0" applyNumberFormat="1" applyFont="1" applyBorder="1" applyAlignment="1">
      <alignment horizontal="center" vertical="center" wrapText="1"/>
    </xf>
    <xf numFmtId="0" fontId="10" fillId="0" borderId="21" xfId="0" applyFont="1" applyBorder="1" applyAlignment="1">
      <alignment horizontal="center" vertical="center"/>
    </xf>
    <xf numFmtId="0" fontId="12" fillId="20" borderId="26" xfId="0" applyFont="1" applyFill="1" applyBorder="1" applyAlignment="1">
      <alignment horizontal="center" vertical="center"/>
    </xf>
    <xf numFmtId="0" fontId="12" fillId="20" borderId="27" xfId="0" applyFont="1" applyFill="1" applyBorder="1" applyAlignment="1">
      <alignment horizontal="center" vertical="center"/>
    </xf>
    <xf numFmtId="0" fontId="10" fillId="0" borderId="26" xfId="0" applyFont="1" applyBorder="1"/>
    <xf numFmtId="0" fontId="10" fillId="0" borderId="29" xfId="0" applyFont="1" applyBorder="1"/>
    <xf numFmtId="0" fontId="10" fillId="0" borderId="25" xfId="0" applyFont="1" applyBorder="1" applyAlignment="1">
      <alignment horizontal="center" vertical="center"/>
    </xf>
    <xf numFmtId="0" fontId="10" fillId="0" borderId="27" xfId="0" applyFont="1" applyBorder="1"/>
    <xf numFmtId="0" fontId="10" fillId="0" borderId="18" xfId="0" applyFont="1" applyBorder="1"/>
    <xf numFmtId="10" fontId="10" fillId="0" borderId="17" xfId="0" applyNumberFormat="1" applyFont="1" applyBorder="1" applyAlignment="1">
      <alignment horizontal="center" vertical="center"/>
    </xf>
    <xf numFmtId="0" fontId="10" fillId="0" borderId="20" xfId="0" applyFont="1" applyBorder="1"/>
    <xf numFmtId="10" fontId="10" fillId="0" borderId="22" xfId="0" applyNumberFormat="1" applyFont="1" applyBorder="1" applyAlignment="1">
      <alignment horizontal="center" vertical="center"/>
    </xf>
    <xf numFmtId="0" fontId="10" fillId="0" borderId="26" xfId="0" applyFont="1" applyBorder="1" applyAlignment="1">
      <alignment horizontal="left" vertical="center"/>
    </xf>
    <xf numFmtId="0" fontId="10" fillId="0" borderId="26" xfId="0" applyFont="1" applyBorder="1" applyAlignment="1">
      <alignment horizontal="left"/>
    </xf>
    <xf numFmtId="0" fontId="12" fillId="0" borderId="26" xfId="0" applyFont="1" applyBorder="1"/>
    <xf numFmtId="0" fontId="12" fillId="0" borderId="27" xfId="0" applyFont="1" applyBorder="1" applyAlignment="1">
      <alignment horizontal="center" vertical="center"/>
    </xf>
    <xf numFmtId="0" fontId="10" fillId="0" borderId="24" xfId="0" applyFont="1" applyBorder="1" applyAlignment="1">
      <alignment horizontal="center" vertical="center"/>
    </xf>
    <xf numFmtId="0" fontId="13" fillId="0" borderId="24" xfId="0" applyFont="1" applyBorder="1" applyAlignment="1">
      <alignment horizontal="left" vertical="center" wrapText="1"/>
    </xf>
    <xf numFmtId="0" fontId="14" fillId="0" borderId="24" xfId="0" applyFont="1" applyBorder="1" applyAlignment="1">
      <alignment horizontal="center" vertical="center" wrapText="1"/>
    </xf>
    <xf numFmtId="0" fontId="15" fillId="0" borderId="24" xfId="0" applyFont="1" applyBorder="1" applyAlignment="1">
      <alignment horizontal="center" vertical="center"/>
    </xf>
    <xf numFmtId="0" fontId="14" fillId="0" borderId="24" xfId="0" applyFont="1" applyBorder="1" applyAlignment="1" applyProtection="1">
      <alignment horizontal="center" vertical="center" wrapText="1"/>
      <protection locked="0"/>
    </xf>
    <xf numFmtId="0" fontId="10" fillId="0" borderId="21" xfId="0" applyFont="1" applyBorder="1"/>
    <xf numFmtId="9" fontId="10" fillId="0" borderId="21" xfId="0" applyNumberFormat="1" applyFont="1" applyBorder="1"/>
    <xf numFmtId="9" fontId="10" fillId="0" borderId="0" xfId="0" applyNumberFormat="1" applyFont="1"/>
    <xf numFmtId="0" fontId="10" fillId="0" borderId="18" xfId="0" applyFont="1" applyBorder="1" applyAlignment="1">
      <alignment horizontal="left" vertical="center"/>
    </xf>
    <xf numFmtId="0" fontId="10" fillId="0" borderId="18" xfId="0" applyFont="1" applyBorder="1" applyAlignment="1">
      <alignment horizontal="left"/>
    </xf>
    <xf numFmtId="0" fontId="10" fillId="0" borderId="20" xfId="0" applyFont="1" applyBorder="1" applyAlignment="1">
      <alignment horizontal="left" vertical="center"/>
    </xf>
    <xf numFmtId="0" fontId="0" fillId="0" borderId="0" xfId="0" applyAlignment="1">
      <alignment wrapText="1"/>
    </xf>
    <xf numFmtId="0" fontId="12" fillId="20" borderId="0" xfId="0" applyFont="1" applyFill="1" applyAlignment="1">
      <alignment horizontal="center" vertical="center" wrapText="1"/>
    </xf>
    <xf numFmtId="0" fontId="12" fillId="0" borderId="0" xfId="0" applyFont="1"/>
    <xf numFmtId="0" fontId="9" fillId="30" borderId="23" xfId="0" applyFont="1" applyFill="1" applyBorder="1" applyAlignment="1">
      <alignment horizontal="center" vertical="center" wrapText="1"/>
    </xf>
    <xf numFmtId="0" fontId="9" fillId="20" borderId="23" xfId="0" applyFont="1" applyFill="1" applyBorder="1" applyAlignment="1">
      <alignment horizontal="center" vertical="center" wrapText="1"/>
    </xf>
    <xf numFmtId="0" fontId="9" fillId="31" borderId="23" xfId="0" applyFont="1" applyFill="1" applyBorder="1" applyAlignment="1">
      <alignment horizontal="center" vertical="center" wrapText="1"/>
    </xf>
    <xf numFmtId="0" fontId="31" fillId="0" borderId="14" xfId="0" applyFont="1" applyBorder="1"/>
    <xf numFmtId="0" fontId="31" fillId="0" borderId="15" xfId="0" applyFont="1" applyBorder="1" applyAlignment="1">
      <alignment horizontal="center"/>
    </xf>
    <xf numFmtId="0" fontId="10" fillId="0" borderId="15" xfId="0" applyFont="1" applyBorder="1"/>
    <xf numFmtId="0" fontId="10" fillId="0" borderId="16" xfId="0" applyFont="1" applyBorder="1"/>
    <xf numFmtId="0" fontId="9" fillId="31" borderId="56" xfId="0" applyFont="1" applyFill="1" applyBorder="1" applyAlignment="1">
      <alignment horizontal="center" vertical="center" wrapText="1"/>
    </xf>
    <xf numFmtId="0" fontId="15" fillId="0" borderId="18" xfId="0" applyFont="1" applyBorder="1" applyAlignment="1">
      <alignment horizontal="left" vertical="center" wrapText="1"/>
    </xf>
    <xf numFmtId="0" fontId="10" fillId="0" borderId="17" xfId="0" quotePrefix="1" applyFont="1" applyBorder="1" applyAlignment="1">
      <alignment horizontal="center" vertical="center"/>
    </xf>
    <xf numFmtId="0" fontId="28" fillId="0" borderId="58" xfId="0" applyFont="1" applyBorder="1" applyAlignment="1">
      <alignment horizontal="center" vertical="center"/>
    </xf>
    <xf numFmtId="0" fontId="28" fillId="0" borderId="59" xfId="0" applyFont="1" applyBorder="1" applyAlignment="1">
      <alignment horizontal="center" vertical="center"/>
    </xf>
    <xf numFmtId="9" fontId="10" fillId="0" borderId="17" xfId="0" applyNumberFormat="1" applyFont="1" applyBorder="1" applyAlignment="1">
      <alignment horizontal="center" vertical="center"/>
    </xf>
    <xf numFmtId="0" fontId="15" fillId="0" borderId="20" xfId="0" applyFont="1" applyBorder="1" applyAlignment="1">
      <alignment horizontal="left" vertical="center" wrapText="1"/>
    </xf>
    <xf numFmtId="0" fontId="15" fillId="0" borderId="21" xfId="0" applyFont="1" applyBorder="1" applyAlignment="1">
      <alignment horizontal="center" vertical="center" wrapText="1"/>
    </xf>
    <xf numFmtId="9" fontId="10" fillId="0" borderId="21" xfId="0" applyNumberFormat="1" applyFont="1" applyBorder="1" applyAlignment="1">
      <alignment horizontal="center" vertical="center"/>
    </xf>
    <xf numFmtId="9" fontId="10" fillId="0" borderId="22" xfId="0" applyNumberFormat="1" applyFont="1" applyBorder="1" applyAlignment="1">
      <alignment horizontal="center" vertical="center"/>
    </xf>
    <xf numFmtId="9" fontId="10" fillId="0" borderId="0" xfId="0" quotePrefix="1" applyNumberFormat="1" applyFont="1" applyAlignment="1">
      <alignment horizontal="center" vertical="center"/>
    </xf>
    <xf numFmtId="9" fontId="10" fillId="0" borderId="17" xfId="0" quotePrefix="1" applyNumberFormat="1" applyFont="1" applyBorder="1" applyAlignment="1">
      <alignment horizontal="center" vertical="center"/>
    </xf>
    <xf numFmtId="9" fontId="28" fillId="0" borderId="0" xfId="0" applyNumberFormat="1" applyFont="1" applyAlignment="1">
      <alignment horizontal="center" vertical="center"/>
    </xf>
    <xf numFmtId="9" fontId="10" fillId="0" borderId="21" xfId="0" quotePrefix="1" applyNumberFormat="1" applyFont="1" applyBorder="1" applyAlignment="1">
      <alignment horizontal="center" vertical="center"/>
    </xf>
    <xf numFmtId="9" fontId="10" fillId="0" borderId="22" xfId="0" quotePrefix="1" applyNumberFormat="1" applyFont="1" applyBorder="1" applyAlignment="1">
      <alignment horizontal="center" vertical="center"/>
    </xf>
    <xf numFmtId="0" fontId="9" fillId="28" borderId="56" xfId="0" applyFont="1" applyFill="1" applyBorder="1" applyAlignment="1">
      <alignment horizontal="center" vertical="center" wrapText="1"/>
    </xf>
    <xf numFmtId="10" fontId="15" fillId="0" borderId="0" xfId="10" applyNumberFormat="1" applyFont="1" applyBorder="1" applyAlignment="1">
      <alignment horizontal="center"/>
    </xf>
    <xf numFmtId="10" fontId="15" fillId="0" borderId="17" xfId="10" applyNumberFormat="1" applyFont="1" applyBorder="1" applyAlignment="1">
      <alignment horizontal="center"/>
    </xf>
    <xf numFmtId="0" fontId="31" fillId="0" borderId="15" xfId="0" applyFont="1" applyBorder="1"/>
    <xf numFmtId="0" fontId="31" fillId="0" borderId="16" xfId="0" applyFont="1" applyBorder="1"/>
    <xf numFmtId="10" fontId="15" fillId="0" borderId="18" xfId="10" applyNumberFormat="1" applyFont="1" applyBorder="1" applyAlignment="1">
      <alignment horizontal="center"/>
    </xf>
    <xf numFmtId="10" fontId="15" fillId="0" borderId="61" xfId="0" applyNumberFormat="1" applyFont="1" applyBorder="1" applyAlignment="1">
      <alignment horizontal="center"/>
    </xf>
    <xf numFmtId="10" fontId="15" fillId="0" borderId="62" xfId="0" applyNumberFormat="1" applyFont="1" applyBorder="1" applyAlignment="1">
      <alignment horizontal="center"/>
    </xf>
    <xf numFmtId="10" fontId="15" fillId="0" borderId="63" xfId="0" applyNumberFormat="1" applyFont="1" applyBorder="1" applyAlignment="1">
      <alignment horizontal="center"/>
    </xf>
    <xf numFmtId="0" fontId="15" fillId="0" borderId="18" xfId="10" applyNumberFormat="1" applyFont="1" applyBorder="1" applyAlignment="1">
      <alignment horizontal="center"/>
    </xf>
    <xf numFmtId="0" fontId="15" fillId="0" borderId="0" xfId="10" applyNumberFormat="1" applyFont="1" applyBorder="1" applyAlignment="1">
      <alignment horizontal="center"/>
    </xf>
    <xf numFmtId="1" fontId="15" fillId="0" borderId="17" xfId="10" applyNumberFormat="1" applyFont="1" applyBorder="1" applyAlignment="1">
      <alignment horizontal="center"/>
    </xf>
    <xf numFmtId="0" fontId="9" fillId="34" borderId="60" xfId="0" applyFont="1" applyFill="1" applyBorder="1" applyAlignment="1">
      <alignment horizontal="center" vertical="center" wrapText="1"/>
    </xf>
    <xf numFmtId="0" fontId="9" fillId="34" borderId="0" xfId="0" applyFont="1" applyFill="1" applyAlignment="1">
      <alignment horizontal="center" vertical="center" wrapText="1"/>
    </xf>
    <xf numFmtId="0" fontId="9" fillId="32" borderId="49" xfId="0" applyFont="1" applyFill="1" applyBorder="1" applyAlignment="1">
      <alignment horizontal="center" vertical="center" wrapText="1"/>
    </xf>
    <xf numFmtId="0" fontId="9" fillId="33" borderId="49" xfId="0" applyFont="1" applyFill="1" applyBorder="1" applyAlignment="1">
      <alignment horizontal="center" vertical="center" wrapText="1"/>
    </xf>
    <xf numFmtId="0" fontId="9" fillId="32" borderId="0" xfId="0" applyFont="1" applyFill="1" applyAlignment="1">
      <alignment horizontal="center" vertical="center" wrapText="1"/>
    </xf>
    <xf numFmtId="0" fontId="15" fillId="26" borderId="18" xfId="0" applyFont="1" applyFill="1" applyBorder="1" applyAlignment="1">
      <alignment vertical="center" wrapText="1"/>
    </xf>
    <xf numFmtId="0" fontId="9" fillId="33" borderId="17" xfId="0" applyFont="1" applyFill="1" applyBorder="1" applyAlignment="1">
      <alignment vertical="center" wrapText="1"/>
    </xf>
    <xf numFmtId="0" fontId="0" fillId="32" borderId="0" xfId="0" applyFill="1"/>
    <xf numFmtId="0" fontId="0" fillId="9" borderId="0" xfId="0" applyFill="1"/>
    <xf numFmtId="0" fontId="0" fillId="23" borderId="0" xfId="0" applyFill="1"/>
    <xf numFmtId="0" fontId="0" fillId="26" borderId="0" xfId="0" applyFill="1"/>
    <xf numFmtId="0" fontId="0" fillId="35" borderId="0" xfId="0" applyFill="1"/>
    <xf numFmtId="167" fontId="10" fillId="0" borderId="0" xfId="0" applyNumberFormat="1" applyFont="1" applyAlignment="1">
      <alignment horizontal="center" vertical="center"/>
    </xf>
    <xf numFmtId="167" fontId="10" fillId="0" borderId="21" xfId="0" applyNumberFormat="1" applyFont="1" applyBorder="1" applyAlignment="1">
      <alignment horizontal="center" vertical="center"/>
    </xf>
    <xf numFmtId="0" fontId="32" fillId="34" borderId="0" xfId="0" applyFont="1" applyFill="1" applyAlignment="1">
      <alignment horizontal="center" vertical="center" wrapText="1"/>
    </xf>
    <xf numFmtId="0" fontId="32" fillId="32" borderId="0" xfId="0" applyFont="1" applyFill="1" applyAlignment="1">
      <alignment horizontal="center" vertical="center" wrapText="1"/>
    </xf>
    <xf numFmtId="0" fontId="32" fillId="33" borderId="0" xfId="0" applyFont="1" applyFill="1" applyAlignment="1">
      <alignment horizontal="center" vertical="center" wrapText="1"/>
    </xf>
    <xf numFmtId="0" fontId="32" fillId="28" borderId="17" xfId="0" applyFont="1" applyFill="1" applyBorder="1" applyAlignment="1">
      <alignment horizontal="center" vertical="center"/>
    </xf>
    <xf numFmtId="0" fontId="33" fillId="0" borderId="1" xfId="0" applyFont="1" applyBorder="1" applyAlignment="1">
      <alignment horizontal="center" vertical="center"/>
    </xf>
    <xf numFmtId="0" fontId="10" fillId="0" borderId="0" xfId="0" applyFont="1" applyAlignment="1">
      <alignment wrapText="1"/>
    </xf>
    <xf numFmtId="0" fontId="0" fillId="36" borderId="0" xfId="0" applyFill="1"/>
    <xf numFmtId="0" fontId="10" fillId="36" borderId="0" xfId="0" applyFont="1" applyFill="1"/>
    <xf numFmtId="0" fontId="11" fillId="36" borderId="0" xfId="0" applyFont="1" applyFill="1" applyAlignment="1">
      <alignment horizontal="right" vertical="center"/>
    </xf>
    <xf numFmtId="14" fontId="12" fillId="36" borderId="0" xfId="0" applyNumberFormat="1" applyFont="1" applyFill="1" applyAlignment="1">
      <alignment horizontal="left"/>
    </xf>
    <xf numFmtId="0" fontId="11" fillId="36" borderId="0" xfId="0" applyFont="1" applyFill="1" applyAlignment="1">
      <alignment vertical="center"/>
    </xf>
    <xf numFmtId="165" fontId="12" fillId="36" borderId="0" xfId="0" applyNumberFormat="1" applyFont="1" applyFill="1" applyAlignment="1">
      <alignment horizontal="left" vertical="center"/>
    </xf>
    <xf numFmtId="0" fontId="10" fillId="0" borderId="66" xfId="0" applyFont="1" applyBorder="1" applyAlignment="1">
      <alignment horizontal="left" vertical="center" wrapText="1"/>
    </xf>
    <xf numFmtId="0" fontId="10" fillId="0" borderId="67" xfId="0" applyFont="1" applyBorder="1" applyAlignment="1">
      <alignment horizontal="left" vertical="center" wrapText="1"/>
    </xf>
    <xf numFmtId="0" fontId="13" fillId="0" borderId="67" xfId="0" applyFont="1" applyBorder="1" applyAlignment="1" applyProtection="1">
      <alignment horizontal="left" vertical="center" wrapText="1"/>
      <protection locked="0"/>
    </xf>
    <xf numFmtId="0" fontId="11" fillId="36" borderId="0" xfId="0" applyFont="1" applyFill="1" applyAlignment="1">
      <alignment horizontal="center" vertical="center"/>
    </xf>
    <xf numFmtId="0" fontId="8" fillId="36" borderId="0" xfId="0" applyFont="1" applyFill="1" applyAlignment="1">
      <alignment horizontal="center" vertical="center" readingOrder="1"/>
    </xf>
    <xf numFmtId="0" fontId="18" fillId="16" borderId="39" xfId="0" applyFont="1" applyFill="1" applyBorder="1" applyAlignment="1">
      <alignment horizontal="center" vertical="center" textRotation="90" wrapText="1"/>
    </xf>
    <xf numFmtId="0" fontId="18" fillId="16" borderId="41" xfId="0" applyFont="1" applyFill="1" applyBorder="1" applyAlignment="1">
      <alignment horizontal="center" vertical="center" textRotation="90" wrapText="1"/>
    </xf>
    <xf numFmtId="0" fontId="18" fillId="16" borderId="39" xfId="0" applyFont="1" applyFill="1" applyBorder="1" applyAlignment="1">
      <alignment horizontal="center" vertical="center" textRotation="90"/>
    </xf>
    <xf numFmtId="0" fontId="18" fillId="16" borderId="46" xfId="0" applyFont="1" applyFill="1" applyBorder="1" applyAlignment="1">
      <alignment horizontal="center" vertical="center" textRotation="90" wrapText="1"/>
    </xf>
    <xf numFmtId="0" fontId="18" fillId="16" borderId="47" xfId="0" applyFont="1" applyFill="1" applyBorder="1" applyAlignment="1">
      <alignment horizontal="center" vertical="center" textRotation="90" wrapText="1"/>
    </xf>
    <xf numFmtId="0" fontId="18" fillId="16" borderId="48" xfId="0" applyFont="1" applyFill="1" applyBorder="1" applyAlignment="1">
      <alignment horizontal="center" vertical="center" textRotation="90" wrapText="1"/>
    </xf>
    <xf numFmtId="0" fontId="18" fillId="16" borderId="38" xfId="0" applyFont="1" applyFill="1" applyBorder="1" applyAlignment="1">
      <alignment horizontal="center" vertical="center" wrapText="1"/>
    </xf>
    <xf numFmtId="0" fontId="18" fillId="16" borderId="40" xfId="0" applyFont="1" applyFill="1" applyBorder="1" applyAlignment="1">
      <alignment horizontal="center" vertical="center" wrapText="1"/>
    </xf>
    <xf numFmtId="0" fontId="18" fillId="16" borderId="36" xfId="0" applyFont="1" applyFill="1" applyBorder="1" applyAlignment="1">
      <alignment horizontal="center" vertical="center" wrapText="1"/>
    </xf>
    <xf numFmtId="0" fontId="18" fillId="16" borderId="39" xfId="0" applyFont="1" applyFill="1" applyBorder="1" applyAlignment="1">
      <alignment horizontal="center" vertical="center" wrapText="1"/>
    </xf>
    <xf numFmtId="0" fontId="18" fillId="16" borderId="37" xfId="0" applyFont="1" applyFill="1" applyBorder="1" applyAlignment="1">
      <alignment horizontal="center" vertical="center"/>
    </xf>
    <xf numFmtId="0" fontId="18" fillId="16" borderId="34" xfId="0" applyFont="1" applyFill="1" applyBorder="1" applyAlignment="1">
      <alignment horizontal="center" vertical="center"/>
    </xf>
    <xf numFmtId="0" fontId="18" fillId="16" borderId="37" xfId="0" applyFont="1" applyFill="1" applyBorder="1" applyAlignment="1">
      <alignment horizontal="center" vertical="center" wrapText="1"/>
    </xf>
    <xf numFmtId="0" fontId="18" fillId="16" borderId="34" xfId="0" applyFont="1" applyFill="1" applyBorder="1" applyAlignment="1">
      <alignment horizontal="center" vertical="center" wrapText="1"/>
    </xf>
    <xf numFmtId="0" fontId="25" fillId="16" borderId="23" xfId="0" applyFont="1" applyFill="1" applyBorder="1" applyAlignment="1">
      <alignment horizontal="center" vertical="center" wrapText="1"/>
    </xf>
    <xf numFmtId="0" fontId="26" fillId="3" borderId="23" xfId="0" applyFont="1" applyFill="1" applyBorder="1" applyAlignment="1">
      <alignment horizontal="center" vertical="center" textRotation="90" wrapText="1"/>
    </xf>
    <xf numFmtId="0" fontId="25" fillId="16" borderId="23" xfId="0" applyFont="1" applyFill="1" applyBorder="1" applyAlignment="1">
      <alignment horizontal="center" vertical="center"/>
    </xf>
    <xf numFmtId="0" fontId="26" fillId="3" borderId="23" xfId="0" applyFont="1" applyFill="1" applyBorder="1" applyAlignment="1">
      <alignment horizontal="center" vertical="center" textRotation="90"/>
    </xf>
    <xf numFmtId="0" fontId="26" fillId="3" borderId="43" xfId="0" applyFont="1" applyFill="1" applyBorder="1" applyAlignment="1">
      <alignment horizontal="center" vertical="center" textRotation="90" wrapText="1"/>
    </xf>
    <xf numFmtId="0" fontId="26" fillId="3" borderId="44" xfId="0" applyFont="1" applyFill="1" applyBorder="1" applyAlignment="1">
      <alignment horizontal="center" vertical="center" textRotation="90" wrapText="1"/>
    </xf>
    <xf numFmtId="0" fontId="26" fillId="3" borderId="45" xfId="0" applyFont="1" applyFill="1" applyBorder="1" applyAlignment="1">
      <alignment horizontal="center" vertical="center" textRotation="90" wrapText="1"/>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2" fillId="28" borderId="0" xfId="0" applyFont="1" applyFill="1" applyAlignment="1">
      <alignment horizontal="center"/>
    </xf>
    <xf numFmtId="0" fontId="12" fillId="29" borderId="0" xfId="0" applyFont="1" applyFill="1" applyAlignment="1">
      <alignment horizontal="center"/>
    </xf>
    <xf numFmtId="0" fontId="11" fillId="28" borderId="17" xfId="0" applyFont="1" applyFill="1" applyBorder="1" applyAlignment="1">
      <alignment horizontal="center" vertical="center" wrapText="1"/>
    </xf>
    <xf numFmtId="0" fontId="28" fillId="0" borderId="0" xfId="0" applyFont="1" applyAlignment="1">
      <alignment horizontal="center"/>
    </xf>
    <xf numFmtId="0" fontId="28" fillId="0" borderId="57" xfId="0" applyFont="1" applyBorder="1" applyAlignment="1">
      <alignment horizontal="center"/>
    </xf>
    <xf numFmtId="0" fontId="28" fillId="0" borderId="58" xfId="0" applyFont="1" applyBorder="1" applyAlignment="1">
      <alignment horizontal="center"/>
    </xf>
    <xf numFmtId="0" fontId="15" fillId="26" borderId="18" xfId="0" applyFont="1" applyFill="1" applyBorder="1" applyAlignment="1">
      <alignment horizontal="center" vertical="center" wrapText="1"/>
    </xf>
    <xf numFmtId="0" fontId="15" fillId="26" borderId="52" xfId="0" applyFont="1" applyFill="1" applyBorder="1" applyAlignment="1">
      <alignment horizontal="center" vertical="center" wrapText="1"/>
    </xf>
    <xf numFmtId="0" fontId="9" fillId="34" borderId="49" xfId="0" applyFont="1" applyFill="1" applyBorder="1" applyAlignment="1">
      <alignment horizontal="center" vertical="center" wrapText="1"/>
    </xf>
    <xf numFmtId="0" fontId="9" fillId="34" borderId="50" xfId="0" applyFont="1" applyFill="1" applyBorder="1" applyAlignment="1">
      <alignment horizontal="center" vertical="center" wrapText="1"/>
    </xf>
    <xf numFmtId="0" fontId="9" fillId="34" borderId="51" xfId="0" applyFont="1" applyFill="1" applyBorder="1" applyAlignment="1">
      <alignment horizontal="center" vertical="center" wrapText="1"/>
    </xf>
    <xf numFmtId="0" fontId="9" fillId="32" borderId="49" xfId="0" applyFont="1" applyFill="1" applyBorder="1" applyAlignment="1">
      <alignment horizontal="center" vertical="center" wrapText="1"/>
    </xf>
    <xf numFmtId="0" fontId="9" fillId="32" borderId="50" xfId="0" applyFont="1" applyFill="1" applyBorder="1" applyAlignment="1">
      <alignment horizontal="center" vertical="center" wrapText="1"/>
    </xf>
    <xf numFmtId="0" fontId="9" fillId="32" borderId="51" xfId="0" applyFont="1" applyFill="1" applyBorder="1" applyAlignment="1">
      <alignment horizontal="center" vertical="center" wrapText="1"/>
    </xf>
    <xf numFmtId="0" fontId="9" fillId="33" borderId="49" xfId="0" applyFont="1" applyFill="1" applyBorder="1" applyAlignment="1">
      <alignment horizontal="center" vertical="center" wrapText="1"/>
    </xf>
    <xf numFmtId="0" fontId="9" fillId="33" borderId="50" xfId="0" applyFont="1" applyFill="1" applyBorder="1" applyAlignment="1">
      <alignment horizontal="center" vertical="center" wrapText="1"/>
    </xf>
    <xf numFmtId="0" fontId="9" fillId="33" borderId="55" xfId="0" applyFont="1" applyFill="1" applyBorder="1" applyAlignment="1">
      <alignment horizontal="center" vertical="center" wrapText="1"/>
    </xf>
    <xf numFmtId="0" fontId="9" fillId="34" borderId="43" xfId="0" applyFont="1" applyFill="1" applyBorder="1" applyAlignment="1">
      <alignment horizontal="center" vertical="center" wrapText="1"/>
    </xf>
    <xf numFmtId="0" fontId="9" fillId="34" borderId="45" xfId="0" applyFont="1" applyFill="1" applyBorder="1" applyAlignment="1">
      <alignment horizontal="center" vertical="center" wrapText="1"/>
    </xf>
    <xf numFmtId="0" fontId="9" fillId="32" borderId="43" xfId="0" applyFont="1" applyFill="1" applyBorder="1" applyAlignment="1">
      <alignment horizontal="center" vertical="center" wrapText="1"/>
    </xf>
    <xf numFmtId="0" fontId="9" fillId="32" borderId="45" xfId="0" applyFont="1" applyFill="1" applyBorder="1" applyAlignment="1">
      <alignment horizontal="center" vertical="center" wrapText="1"/>
    </xf>
    <xf numFmtId="0" fontId="11" fillId="19" borderId="0" xfId="0" applyFont="1" applyFill="1" applyAlignment="1">
      <alignment horizontal="center" vertical="center"/>
    </xf>
    <xf numFmtId="0" fontId="9" fillId="33" borderId="53" xfId="0" applyFont="1" applyFill="1" applyBorder="1" applyAlignment="1">
      <alignment horizontal="center" vertical="center" wrapText="1"/>
    </xf>
    <xf numFmtId="0" fontId="9" fillId="33" borderId="54" xfId="0" applyFont="1" applyFill="1" applyBorder="1" applyAlignment="1">
      <alignment horizontal="center" vertical="center" wrapText="1"/>
    </xf>
    <xf numFmtId="0" fontId="15" fillId="26" borderId="0" xfId="0" applyFont="1" applyFill="1" applyAlignment="1">
      <alignment horizontal="center" vertical="center" wrapText="1"/>
    </xf>
    <xf numFmtId="0" fontId="9" fillId="34" borderId="0" xfId="0" applyFont="1" applyFill="1" applyAlignment="1">
      <alignment horizontal="center" vertical="center" wrapText="1"/>
    </xf>
    <xf numFmtId="0" fontId="9" fillId="32" borderId="0" xfId="0" applyFont="1" applyFill="1" applyAlignment="1">
      <alignment horizontal="center" vertical="center" wrapText="1"/>
    </xf>
    <xf numFmtId="0" fontId="9" fillId="33" borderId="0" xfId="0" applyFont="1" applyFill="1" applyAlignment="1">
      <alignment horizontal="center" vertical="center" wrapText="1"/>
    </xf>
    <xf numFmtId="0" fontId="27" fillId="26" borderId="0" xfId="0" applyFont="1" applyFill="1" applyAlignment="1">
      <alignment horizontal="center" vertical="center" wrapText="1"/>
    </xf>
    <xf numFmtId="0" fontId="10" fillId="0" borderId="31" xfId="0" applyFont="1" applyBorder="1" applyAlignment="1">
      <alignment horizontal="center"/>
    </xf>
    <xf numFmtId="0" fontId="10" fillId="0" borderId="32" xfId="0" applyFont="1" applyBorder="1" applyAlignment="1">
      <alignment horizontal="center"/>
    </xf>
    <xf numFmtId="0" fontId="10" fillId="0" borderId="33" xfId="0" applyFont="1" applyBorder="1" applyAlignment="1">
      <alignment horizontal="center"/>
    </xf>
    <xf numFmtId="0" fontId="10" fillId="0" borderId="20" xfId="0" applyFont="1" applyBorder="1" applyAlignment="1">
      <alignment horizontal="center" vertical="center"/>
    </xf>
    <xf numFmtId="0" fontId="10" fillId="0" borderId="21" xfId="0" applyFont="1" applyBorder="1" applyAlignment="1">
      <alignment horizontal="center" vertical="center"/>
    </xf>
    <xf numFmtId="0" fontId="12" fillId="20" borderId="0" xfId="0" applyFont="1" applyFill="1" applyAlignment="1">
      <alignment horizontal="center" vertical="center"/>
    </xf>
    <xf numFmtId="0" fontId="12" fillId="20" borderId="27" xfId="0" applyFont="1" applyFill="1" applyBorder="1" applyAlignment="1">
      <alignment horizontal="center" vertical="center"/>
    </xf>
    <xf numFmtId="0" fontId="10"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4" fillId="0" borderId="1" xfId="0" applyFont="1" applyFill="1" applyBorder="1" applyAlignment="1" applyProtection="1">
      <alignment horizontal="center" vertical="center" wrapText="1"/>
      <protection locked="0"/>
    </xf>
    <xf numFmtId="0" fontId="10" fillId="0" borderId="0" xfId="0" applyFont="1" applyFill="1" applyAlignment="1">
      <alignment wrapText="1"/>
    </xf>
    <xf numFmtId="0" fontId="10" fillId="0" borderId="1" xfId="0" applyFont="1" applyFill="1" applyBorder="1" applyAlignment="1">
      <alignment horizontal="left" vertical="center" wrapText="1"/>
    </xf>
    <xf numFmtId="0" fontId="15" fillId="0" borderId="1" xfId="0" applyFont="1" applyFill="1" applyBorder="1" applyAlignment="1">
      <alignment horizontal="left" vertical="center" wrapText="1"/>
    </xf>
    <xf numFmtId="0" fontId="10" fillId="0" borderId="67" xfId="0" applyFont="1" applyFill="1" applyBorder="1" applyAlignment="1">
      <alignment horizontal="left" vertical="center" wrapText="1"/>
    </xf>
    <xf numFmtId="0" fontId="10" fillId="0" borderId="66" xfId="0" applyFont="1" applyFill="1" applyBorder="1" applyAlignment="1">
      <alignment horizontal="left" vertical="center" wrapText="1"/>
    </xf>
    <xf numFmtId="0" fontId="0" fillId="0" borderId="0" xfId="0" applyFill="1"/>
    <xf numFmtId="0" fontId="13" fillId="0" borderId="1" xfId="0" applyFont="1" applyFill="1" applyBorder="1" applyAlignment="1" applyProtection="1">
      <alignment horizontal="left" vertical="center" wrapText="1"/>
      <protection locked="0"/>
    </xf>
    <xf numFmtId="0" fontId="15" fillId="0" borderId="1" xfId="0" applyFont="1" applyFill="1" applyBorder="1" applyAlignment="1">
      <alignment horizontal="center" vertical="center"/>
    </xf>
    <xf numFmtId="0" fontId="14" fillId="0" borderId="1" xfId="0" applyFont="1" applyFill="1" applyBorder="1" applyAlignment="1" applyProtection="1">
      <alignment horizontal="left" vertical="center" wrapText="1"/>
      <protection locked="0"/>
    </xf>
    <xf numFmtId="0" fontId="14" fillId="0" borderId="1" xfId="0" quotePrefix="1" applyFont="1" applyFill="1" applyBorder="1" applyAlignment="1" applyProtection="1">
      <alignment horizontal="left" vertical="center" wrapText="1"/>
      <protection locked="0"/>
    </xf>
    <xf numFmtId="0" fontId="34" fillId="0" borderId="30" xfId="0" applyFont="1" applyFill="1" applyBorder="1" applyAlignment="1">
      <alignment vertical="center" wrapText="1"/>
    </xf>
    <xf numFmtId="0" fontId="13"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13" fillId="0" borderId="1" xfId="0" applyFont="1" applyFill="1" applyBorder="1" applyAlignment="1" applyProtection="1">
      <alignment horizontal="center" vertical="center" wrapText="1"/>
      <protection locked="0"/>
    </xf>
    <xf numFmtId="0" fontId="13" fillId="0" borderId="5" xfId="0" applyFont="1" applyFill="1" applyBorder="1" applyAlignment="1">
      <alignment vertical="center" wrapText="1"/>
    </xf>
    <xf numFmtId="0" fontId="15" fillId="0" borderId="1" xfId="0" applyFont="1" applyFill="1" applyBorder="1" applyAlignment="1">
      <alignment horizontal="center" vertical="center" wrapText="1"/>
    </xf>
    <xf numFmtId="0" fontId="10" fillId="0" borderId="1" xfId="0" applyFont="1" applyFill="1" applyBorder="1" applyAlignment="1">
      <alignment vertical="center" wrapText="1"/>
    </xf>
    <xf numFmtId="0" fontId="0" fillId="0" borderId="30" xfId="0" applyFill="1" applyBorder="1" applyAlignment="1">
      <alignment horizontal="left" vertical="top" wrapText="1"/>
    </xf>
    <xf numFmtId="0" fontId="12" fillId="0" borderId="1" xfId="0" applyFont="1" applyFill="1" applyBorder="1" applyAlignment="1">
      <alignment horizontal="center" vertical="center" wrapText="1"/>
    </xf>
    <xf numFmtId="0" fontId="13" fillId="0" borderId="67" xfId="0" applyFont="1" applyFill="1" applyBorder="1" applyAlignment="1" applyProtection="1">
      <alignment horizontal="left" vertical="center" wrapText="1"/>
      <protection locked="0"/>
    </xf>
    <xf numFmtId="0" fontId="13" fillId="0" borderId="3" xfId="0" applyFont="1" applyFill="1" applyBorder="1" applyAlignment="1">
      <alignment vertical="center" wrapText="1"/>
    </xf>
    <xf numFmtId="0" fontId="13" fillId="0" borderId="4" xfId="0" applyFont="1" applyFill="1" applyBorder="1" applyAlignment="1">
      <alignment vertical="center" wrapText="1"/>
    </xf>
    <xf numFmtId="0" fontId="11" fillId="0" borderId="4" xfId="0" applyFont="1" applyFill="1" applyBorder="1" applyAlignment="1">
      <alignment horizontal="center" vertical="center" wrapText="1"/>
    </xf>
    <xf numFmtId="0" fontId="13" fillId="0" borderId="2" xfId="0" applyFont="1" applyFill="1" applyBorder="1" applyAlignment="1">
      <alignment vertical="center" wrapText="1"/>
    </xf>
    <xf numFmtId="0" fontId="11" fillId="0" borderId="9" xfId="0" applyFont="1" applyFill="1" applyBorder="1" applyAlignment="1">
      <alignment horizontal="center" vertical="center" wrapText="1"/>
    </xf>
    <xf numFmtId="0" fontId="10" fillId="0" borderId="5" xfId="0" applyFont="1" applyFill="1" applyBorder="1" applyAlignment="1">
      <alignment vertical="center" wrapText="1"/>
    </xf>
    <xf numFmtId="0" fontId="33" fillId="0" borderId="1" xfId="0" applyFont="1" applyFill="1" applyBorder="1" applyAlignment="1">
      <alignment horizontal="center" vertical="center"/>
    </xf>
    <xf numFmtId="0" fontId="10" fillId="0" borderId="24" xfId="0" applyFont="1" applyFill="1" applyBorder="1" applyAlignment="1">
      <alignment horizontal="center" vertical="center"/>
    </xf>
    <xf numFmtId="0" fontId="13" fillId="0" borderId="24" xfId="0" applyFont="1" applyFill="1" applyBorder="1" applyAlignment="1">
      <alignment horizontal="left" vertical="center" wrapText="1"/>
    </xf>
    <xf numFmtId="0" fontId="14" fillId="0" borderId="24" xfId="0" applyFont="1" applyFill="1" applyBorder="1" applyAlignment="1">
      <alignment horizontal="center" vertical="center" wrapText="1"/>
    </xf>
    <xf numFmtId="0" fontId="15" fillId="0" borderId="24" xfId="0" applyFont="1" applyFill="1" applyBorder="1" applyAlignment="1">
      <alignment horizontal="center" vertical="center"/>
    </xf>
    <xf numFmtId="0" fontId="13" fillId="0" borderId="24" xfId="0" applyFont="1" applyFill="1" applyBorder="1" applyAlignment="1" applyProtection="1">
      <alignment horizontal="left" vertical="center" wrapText="1"/>
      <protection locked="0"/>
    </xf>
    <xf numFmtId="0" fontId="10" fillId="0" borderId="30" xfId="0" applyFont="1" applyFill="1" applyBorder="1" applyAlignment="1">
      <alignment vertical="center" wrapText="1"/>
    </xf>
    <xf numFmtId="0" fontId="10" fillId="0" borderId="30" xfId="0" applyFont="1" applyFill="1" applyBorder="1" applyAlignment="1">
      <alignment horizontal="left" vertical="center" wrapText="1"/>
    </xf>
    <xf numFmtId="0" fontId="14" fillId="0" borderId="64" xfId="0" applyFont="1" applyBorder="1" applyAlignment="1" applyProtection="1">
      <alignment horizontal="center" vertical="center" wrapText="1"/>
      <protection locked="0"/>
    </xf>
    <xf numFmtId="0" fontId="14" fillId="9" borderId="64" xfId="0" applyFont="1" applyFill="1" applyBorder="1" applyAlignment="1" applyProtection="1">
      <alignment horizontal="center" vertical="center" wrapText="1"/>
      <protection locked="0"/>
    </xf>
    <xf numFmtId="0" fontId="14" fillId="0" borderId="65" xfId="0" applyFont="1" applyBorder="1" applyAlignment="1" applyProtection="1">
      <alignment horizontal="center" vertical="center" wrapText="1"/>
      <protection locked="0"/>
    </xf>
    <xf numFmtId="0" fontId="15" fillId="0" borderId="66" xfId="0" applyFont="1" applyFill="1" applyBorder="1" applyAlignment="1">
      <alignment horizontal="left" vertical="center" wrapText="1"/>
    </xf>
    <xf numFmtId="0" fontId="13" fillId="0" borderId="66" xfId="0" applyFont="1" applyFill="1" applyBorder="1" applyAlignment="1" applyProtection="1">
      <alignment horizontal="left" vertical="center" wrapText="1"/>
      <protection locked="0"/>
    </xf>
    <xf numFmtId="0" fontId="14" fillId="0" borderId="66" xfId="0" applyFont="1" applyFill="1" applyBorder="1" applyAlignment="1" applyProtection="1">
      <alignment horizontal="left" vertical="center" wrapText="1"/>
      <protection locked="0"/>
    </xf>
    <xf numFmtId="0" fontId="14" fillId="0" borderId="66" xfId="0" quotePrefix="1" applyFont="1" applyFill="1" applyBorder="1" applyAlignment="1" applyProtection="1">
      <alignment horizontal="left" vertical="center" wrapText="1"/>
      <protection locked="0"/>
    </xf>
    <xf numFmtId="0" fontId="10" fillId="0" borderId="66" xfId="0" applyFont="1" applyFill="1" applyBorder="1" applyAlignment="1">
      <alignment horizontal="left" vertical="top" wrapText="1"/>
    </xf>
    <xf numFmtId="0" fontId="10" fillId="0" borderId="66" xfId="0" applyFont="1" applyFill="1" applyBorder="1" applyAlignment="1">
      <alignment vertical="center" wrapText="1"/>
    </xf>
    <xf numFmtId="0" fontId="13" fillId="0" borderId="66" xfId="0" applyFont="1" applyFill="1" applyBorder="1" applyAlignment="1" applyProtection="1">
      <alignment horizontal="center" vertical="center" wrapText="1"/>
      <protection locked="0"/>
    </xf>
    <xf numFmtId="0" fontId="14" fillId="0" borderId="66" xfId="0" applyFont="1" applyFill="1" applyBorder="1" applyAlignment="1" applyProtection="1">
      <alignment horizontal="center" vertical="center" wrapText="1"/>
      <protection locked="0"/>
    </xf>
  </cellXfs>
  <cellStyles count="11">
    <cellStyle name="Comma 2" xfId="8" xr:uid="{6CA23DB5-53FE-4914-91AB-A0054CE71AE2}"/>
    <cellStyle name="Normal" xfId="0" builtinId="0"/>
    <cellStyle name="Normal 10" xfId="4" xr:uid="{C0767051-8401-4B22-A636-F5023C0E7D08}"/>
    <cellStyle name="Normal 15 2" xfId="2" xr:uid="{C76A87E8-12B4-498D-BEB2-8821F129FB60}"/>
    <cellStyle name="Normal 19" xfId="3" xr:uid="{C2FEDD09-0CB7-404B-BD8D-C9618A126293}"/>
    <cellStyle name="Normal 2" xfId="1" xr:uid="{B68D70CA-3913-4517-8104-6D35D784D265}"/>
    <cellStyle name="Normal 2 2" xfId="5" xr:uid="{D9C74CE9-FD5E-487D-9DFE-18BD311120C1}"/>
    <cellStyle name="Normal 2 2 2" xfId="9" xr:uid="{D0CECAB2-08E2-4076-862B-A58778F0D7D7}"/>
    <cellStyle name="Normal 2 5" xfId="7" xr:uid="{9C6AE5D9-CD9D-4520-B1FF-51839E7ED512}"/>
    <cellStyle name="Normal 3" xfId="6" xr:uid="{10E5312E-5ED7-4516-8098-FBCB04E13800}"/>
    <cellStyle name="Percent" xfId="10" builtinId="5"/>
  </cellStyles>
  <dxfs count="136">
    <dxf>
      <font>
        <b/>
        <i val="0"/>
        <color rgb="FFFFFFFF"/>
      </font>
      <fill>
        <patternFill>
          <bgColor rgb="FFD66555"/>
        </patternFill>
      </fill>
    </dxf>
    <dxf>
      <font>
        <b/>
        <i val="0"/>
        <color rgb="FFFFFFFF"/>
      </font>
      <fill>
        <patternFill>
          <bgColor rgb="FFF0853D"/>
        </patternFill>
      </fill>
    </dxf>
    <dxf>
      <font>
        <b/>
        <i val="0"/>
        <color rgb="FFFFFFFF"/>
      </font>
      <fill>
        <patternFill>
          <bgColor rgb="FF76BE6C"/>
        </patternFill>
      </fill>
    </dxf>
    <dxf>
      <font>
        <b/>
        <i val="0"/>
        <color rgb="FFFFFFFF"/>
      </font>
      <fill>
        <patternFill>
          <bgColor rgb="FFD66555"/>
        </patternFill>
      </fill>
    </dxf>
    <dxf>
      <font>
        <b/>
        <i val="0"/>
        <color rgb="FFFFFFFF"/>
      </font>
      <fill>
        <patternFill>
          <bgColor rgb="FFF0853D"/>
        </patternFill>
      </fill>
    </dxf>
    <dxf>
      <font>
        <b/>
        <i val="0"/>
        <color rgb="FFFFFFFF"/>
      </font>
      <fill>
        <patternFill>
          <bgColor rgb="FF373E82"/>
        </patternFill>
      </fill>
    </dxf>
    <dxf>
      <font>
        <b/>
        <i val="0"/>
        <color rgb="FFFFFFFF"/>
      </font>
      <fill>
        <patternFill>
          <bgColor rgb="FF67A4DA"/>
        </patternFill>
      </fill>
    </dxf>
    <dxf>
      <font>
        <b/>
        <i val="0"/>
        <color rgb="FFFFFFFF"/>
      </font>
      <fill>
        <patternFill>
          <bgColor rgb="FF319392"/>
        </patternFill>
      </fill>
    </dxf>
    <dxf>
      <font>
        <b/>
        <i val="0"/>
        <color rgb="FFFFFFFF"/>
      </font>
      <fill>
        <patternFill>
          <bgColor rgb="FF76BE6C"/>
        </patternFill>
      </fill>
    </dxf>
    <dxf>
      <fill>
        <patternFill>
          <bgColor rgb="FFFFD85B"/>
        </patternFill>
      </fill>
    </dxf>
    <dxf>
      <fill>
        <patternFill>
          <bgColor theme="9" tint="0.79998168889431442"/>
        </patternFill>
      </fill>
    </dxf>
    <dxf>
      <fill>
        <patternFill>
          <bgColor rgb="FFFDD9D5"/>
        </patternFill>
      </fill>
    </dxf>
    <dxf>
      <fill>
        <patternFill>
          <bgColor rgb="FF92D050"/>
        </patternFill>
      </fill>
    </dxf>
    <dxf>
      <fill>
        <patternFill>
          <bgColor rgb="FF00B0F0"/>
        </patternFill>
      </fill>
    </dxf>
    <dxf>
      <fill>
        <patternFill>
          <bgColor rgb="FFFFC000"/>
        </patternFill>
      </fill>
    </dxf>
    <dxf>
      <fill>
        <patternFill>
          <bgColor theme="0" tint="-0.499984740745262"/>
        </patternFill>
      </fill>
    </dxf>
    <dxf>
      <fill>
        <patternFill>
          <bgColor rgb="FFFFD85B"/>
        </patternFill>
      </fill>
    </dxf>
    <dxf>
      <fill>
        <patternFill>
          <bgColor rgb="FFFFD85B"/>
        </patternFill>
      </fill>
    </dxf>
    <dxf>
      <fill>
        <patternFill>
          <bgColor rgb="FFFFD85B"/>
        </patternFill>
      </fill>
    </dxf>
    <dxf>
      <fill>
        <patternFill>
          <bgColor rgb="FF92D050"/>
        </patternFill>
      </fill>
    </dxf>
    <dxf>
      <fill>
        <patternFill>
          <bgColor rgb="FF00B0F0"/>
        </patternFill>
      </fill>
    </dxf>
    <dxf>
      <fill>
        <patternFill>
          <bgColor rgb="FFFFC000"/>
        </patternFill>
      </fill>
    </dxf>
    <dxf>
      <fill>
        <patternFill>
          <bgColor theme="0" tint="-0.499984740745262"/>
        </patternFill>
      </fill>
    </dxf>
    <dxf>
      <fill>
        <patternFill>
          <bgColor rgb="FF92D050"/>
        </patternFill>
      </fill>
    </dxf>
    <dxf>
      <fill>
        <patternFill>
          <bgColor rgb="FF00B0F0"/>
        </patternFill>
      </fill>
    </dxf>
    <dxf>
      <fill>
        <patternFill>
          <bgColor rgb="FFFFC000"/>
        </patternFill>
      </fill>
    </dxf>
    <dxf>
      <fill>
        <patternFill>
          <bgColor theme="0" tint="-0.499984740745262"/>
        </patternFill>
      </fill>
    </dxf>
    <dxf>
      <fill>
        <patternFill>
          <bgColor rgb="FFFFD85B"/>
        </patternFill>
      </fill>
    </dxf>
    <dxf>
      <fill>
        <patternFill>
          <bgColor theme="9" tint="0.79998168889431442"/>
        </patternFill>
      </fill>
    </dxf>
    <dxf>
      <fill>
        <patternFill>
          <bgColor rgb="FFFDD9D5"/>
        </patternFill>
      </fill>
    </dxf>
    <dxf>
      <fill>
        <patternFill>
          <bgColor rgb="FF92D050"/>
        </patternFill>
      </fill>
    </dxf>
    <dxf>
      <fill>
        <patternFill>
          <bgColor rgb="FF00B0F0"/>
        </patternFill>
      </fill>
    </dxf>
    <dxf>
      <fill>
        <patternFill>
          <bgColor rgb="FFFFC000"/>
        </patternFill>
      </fill>
    </dxf>
    <dxf>
      <fill>
        <patternFill>
          <bgColor theme="0" tint="-0.499984740745262"/>
        </patternFill>
      </fill>
    </dxf>
    <dxf>
      <fill>
        <patternFill>
          <bgColor rgb="FFFFD85B"/>
        </patternFill>
      </fill>
    </dxf>
    <dxf>
      <fill>
        <patternFill>
          <bgColor rgb="FFFFD85B"/>
        </patternFill>
      </fill>
    </dxf>
    <dxf>
      <fill>
        <patternFill>
          <bgColor rgb="FFFFD85B"/>
        </patternFill>
      </fill>
    </dxf>
    <dxf>
      <fill>
        <patternFill>
          <bgColor rgb="FF92D050"/>
        </patternFill>
      </fill>
    </dxf>
    <dxf>
      <fill>
        <patternFill>
          <bgColor rgb="FF00B0F0"/>
        </patternFill>
      </fill>
    </dxf>
    <dxf>
      <fill>
        <patternFill>
          <bgColor rgb="FFFFC000"/>
        </patternFill>
      </fill>
    </dxf>
    <dxf>
      <fill>
        <patternFill>
          <bgColor theme="0" tint="-0.499984740745262"/>
        </patternFill>
      </fill>
    </dxf>
    <dxf>
      <fill>
        <patternFill>
          <bgColor rgb="FF92D050"/>
        </patternFill>
      </fill>
    </dxf>
    <dxf>
      <fill>
        <patternFill>
          <bgColor rgb="FF00B0F0"/>
        </patternFill>
      </fill>
    </dxf>
    <dxf>
      <fill>
        <patternFill>
          <bgColor rgb="FFFFC000"/>
        </patternFill>
      </fill>
    </dxf>
    <dxf>
      <fill>
        <patternFill>
          <bgColor theme="0" tint="-0.499984740745262"/>
        </patternFill>
      </fill>
    </dxf>
    <dxf>
      <font>
        <b val="0"/>
        <i val="0"/>
        <strike val="0"/>
        <condense val="0"/>
        <extend val="0"/>
        <outline val="0"/>
        <shadow val="0"/>
        <u val="none"/>
        <vertAlign val="baseline"/>
        <sz val="11"/>
        <color theme="1"/>
        <name val="Tajawal"/>
        <scheme val="none"/>
      </font>
      <fill>
        <patternFill patternType="none">
          <fgColor indexed="64"/>
          <bgColor auto="1"/>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val="0"/>
        <i val="0"/>
        <strike val="0"/>
        <condense val="0"/>
        <extend val="0"/>
        <outline val="0"/>
        <shadow val="0"/>
        <u val="none"/>
        <vertAlign val="baseline"/>
        <sz val="11"/>
        <color auto="1"/>
        <name val="Tajawal"/>
        <scheme val="none"/>
      </font>
      <fill>
        <patternFill patternType="none">
          <fgColor indexed="64"/>
          <bgColor auto="1"/>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protection locked="0" hidden="0"/>
    </dxf>
    <dxf>
      <font>
        <b val="0"/>
        <i val="0"/>
        <strike val="0"/>
        <condense val="0"/>
        <extend val="0"/>
        <outline val="0"/>
        <shadow val="0"/>
        <u val="none"/>
        <vertAlign val="baseline"/>
        <sz val="11"/>
        <color auto="1"/>
        <name val="Tajawal"/>
        <scheme val="none"/>
      </font>
      <fill>
        <patternFill patternType="none">
          <fgColor indexed="64"/>
          <bgColor auto="1"/>
        </patternFill>
      </fill>
      <alignment horizontal="left" vertical="center" textRotation="0" wrapText="1"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protection locked="0" hidden="0"/>
    </dxf>
    <dxf>
      <font>
        <strike val="0"/>
        <outline val="0"/>
        <shadow val="0"/>
        <u val="none"/>
        <vertAlign val="baseline"/>
        <sz val="11"/>
        <name val="Tajawal"/>
        <scheme val="none"/>
      </font>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style="thin">
          <color theme="0" tint="-0.14996795556505021"/>
        </horizontal>
      </border>
    </dxf>
    <dxf>
      <font>
        <b val="0"/>
        <i val="0"/>
        <strike val="0"/>
        <condense val="0"/>
        <extend val="0"/>
        <outline val="0"/>
        <shadow val="0"/>
        <u val="none"/>
        <vertAlign val="baseline"/>
        <sz val="11"/>
        <color theme="1"/>
        <name val="Tajawal"/>
        <scheme val="none"/>
      </font>
      <alignment horizontal="left" vertical="center" textRotation="0" wrapText="1" indent="0" justifyLastLine="0" shrinkToFit="0" readingOrder="0"/>
      <border diagonalUp="0" diagonalDown="0">
        <left style="thin">
          <color theme="0" tint="-0.14993743705557422"/>
        </left>
        <right style="thin">
          <color theme="0" tint="-0.14996795556505021"/>
        </right>
        <top style="thin">
          <color theme="0" tint="-0.14993743705557422"/>
        </top>
        <bottom style="thin">
          <color theme="0" tint="-0.14993743705557422"/>
        </bottom>
        <vertical/>
        <horizontal style="thin">
          <color theme="0" tint="-0.14993743705557422"/>
        </horizontal>
      </border>
    </dxf>
    <dxf>
      <font>
        <b val="0"/>
        <i val="0"/>
        <strike val="0"/>
        <condense val="0"/>
        <extend val="0"/>
        <outline val="0"/>
        <shadow val="0"/>
        <u val="none"/>
        <vertAlign val="baseline"/>
        <sz val="11"/>
        <color auto="1"/>
        <name val="Tajawal"/>
        <scheme val="none"/>
      </font>
      <fill>
        <patternFill patternType="none">
          <fgColor indexed="64"/>
          <bgColor indexed="65"/>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protection locked="0" hidden="0"/>
    </dxf>
    <dxf>
      <font>
        <b val="0"/>
        <i val="0"/>
        <strike val="0"/>
        <condense val="0"/>
        <extend val="0"/>
        <outline val="0"/>
        <shadow val="0"/>
        <u val="none"/>
        <vertAlign val="baseline"/>
        <sz val="11"/>
        <color auto="1"/>
        <name val="Tajaw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auto="1"/>
        <name val="Tajawal"/>
        <scheme val="none"/>
      </font>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auto="1"/>
        <name val="Tajaw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auto="1"/>
        <name val="Tajawal"/>
        <scheme val="none"/>
      </font>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theme="1"/>
        <name val="Tajawal"/>
        <scheme val="none"/>
      </font>
      <numFmt numFmtId="0" formatCode="General"/>
      <alignment horizontal="center"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strike val="0"/>
        <outline val="0"/>
        <shadow val="0"/>
        <u val="none"/>
        <vertAlign val="baseline"/>
        <sz val="11"/>
        <name val="Tajawal"/>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i val="0"/>
        <strike val="0"/>
        <condense val="0"/>
        <extend val="0"/>
        <outline val="0"/>
        <shadow val="0"/>
        <u val="none"/>
        <vertAlign val="baseline"/>
        <sz val="11"/>
        <color auto="1"/>
        <name val="Tajawal"/>
        <scheme val="none"/>
      </font>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auto="1"/>
        <name val="Tajawal"/>
        <scheme val="none"/>
      </font>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auto="1"/>
        <name val="Tajawal"/>
        <scheme val="none"/>
      </font>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i val="0"/>
        <strike val="0"/>
        <condense val="0"/>
        <extend val="0"/>
        <outline val="0"/>
        <shadow val="0"/>
        <u val="none"/>
        <vertAlign val="baseline"/>
        <sz val="11"/>
        <color theme="0"/>
        <name val="Tajawal"/>
        <scheme val="none"/>
      </font>
      <fill>
        <patternFill patternType="solid">
          <fgColor indexed="64"/>
          <bgColor rgb="FF67A4DA"/>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border>
        <top style="thin">
          <color rgb="FFD9D9D9"/>
        </top>
      </border>
    </dxf>
    <dxf>
      <border>
        <bottom style="thin">
          <color rgb="FFD9D9D9"/>
        </bottom>
      </border>
    </dxf>
    <dxf>
      <border diagonalUp="0" diagonalDown="0">
        <left style="thin">
          <color rgb="FFD9D9D9"/>
        </left>
        <right style="thin">
          <color rgb="FFD9D9D9"/>
        </right>
        <top style="thin">
          <color rgb="FFD9D9D9"/>
        </top>
        <bottom style="thin">
          <color rgb="FFD9D9D9"/>
        </bottom>
      </border>
    </dxf>
    <dxf>
      <font>
        <strike val="0"/>
        <outline val="0"/>
        <shadow val="0"/>
        <u val="none"/>
        <vertAlign val="baseline"/>
        <sz val="11"/>
        <name val="Tajawal"/>
        <scheme val="none"/>
      </font>
    </dxf>
    <dxf>
      <font>
        <b/>
        <i val="0"/>
        <strike val="0"/>
        <condense val="0"/>
        <extend val="0"/>
        <outline val="0"/>
        <shadow val="0"/>
        <u val="none"/>
        <vertAlign val="baseline"/>
        <sz val="10"/>
        <color theme="0"/>
        <name val="Tajawal"/>
        <scheme val="none"/>
      </font>
      <fill>
        <patternFill patternType="solid">
          <fgColor indexed="64"/>
          <bgColor rgb="FF002657"/>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i val="0"/>
        <strike val="0"/>
        <condense val="0"/>
        <extend val="0"/>
        <outline val="0"/>
        <shadow val="0"/>
        <u val="none"/>
        <vertAlign val="baseline"/>
        <sz val="11"/>
        <color auto="1"/>
        <name val="Tajawal"/>
        <scheme val="none"/>
      </font>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auto="1"/>
        <name val="Tajaw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auto="1"/>
        <name val="Tajawal"/>
        <scheme val="none"/>
      </font>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protection locked="0" hidden="0"/>
    </dxf>
    <dxf>
      <font>
        <b/>
        <i val="0"/>
        <strike val="0"/>
        <condense val="0"/>
        <extend val="0"/>
        <outline val="0"/>
        <shadow val="0"/>
        <u val="none"/>
        <vertAlign val="baseline"/>
        <sz val="11"/>
        <color theme="1"/>
        <name val="Tajawal"/>
        <scheme val="none"/>
      </font>
      <numFmt numFmtId="0" formatCode="General"/>
      <alignment horizontal="center"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strike val="0"/>
        <outline val="0"/>
        <shadow val="0"/>
        <u val="none"/>
        <vertAlign val="baseline"/>
        <sz val="11"/>
        <name val="Tajawal"/>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i val="0"/>
        <strike val="0"/>
        <condense val="0"/>
        <extend val="0"/>
        <outline val="0"/>
        <shadow val="0"/>
        <u val="none"/>
        <vertAlign val="baseline"/>
        <sz val="11"/>
        <color auto="1"/>
        <name val="Tajawal"/>
        <scheme val="none"/>
      </font>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auto="1"/>
        <name val="Tajawal"/>
        <scheme val="none"/>
      </font>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auto="1"/>
        <name val="Tajawal"/>
        <scheme val="none"/>
      </font>
      <alignment horizontal="left"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i val="0"/>
        <strike val="0"/>
        <condense val="0"/>
        <extend val="0"/>
        <outline val="0"/>
        <shadow val="0"/>
        <u val="none"/>
        <vertAlign val="baseline"/>
        <sz val="11"/>
        <color theme="0"/>
        <name val="Tajawal"/>
        <scheme val="none"/>
      </font>
      <fill>
        <patternFill patternType="solid">
          <fgColor indexed="64"/>
          <bgColor rgb="FF67A4DA"/>
        </patternFill>
      </fill>
      <alignment horizontal="center" vertical="center" textRotation="0" wrapText="1"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Tajawal"/>
        <scheme val="none"/>
      </font>
      <alignment horizontal="center" vertical="center"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border>
        <top style="thin">
          <color rgb="FFD9D9D9"/>
        </top>
      </border>
    </dxf>
    <dxf>
      <border diagonalUp="0" diagonalDown="0">
        <left style="thin">
          <color rgb="FFD9D9D9"/>
        </left>
        <right style="thin">
          <color rgb="FFD9D9D9"/>
        </right>
        <top style="thin">
          <color rgb="FFD9D9D9"/>
        </top>
        <bottom style="thin">
          <color rgb="FFD9D9D9"/>
        </bottom>
      </border>
    </dxf>
    <dxf>
      <font>
        <strike val="0"/>
        <outline val="0"/>
        <shadow val="0"/>
        <u val="none"/>
        <vertAlign val="baseline"/>
        <sz val="11"/>
        <name val="Tajawal"/>
        <scheme val="none"/>
      </font>
    </dxf>
    <dxf>
      <border>
        <bottom style="thin">
          <color rgb="FFD9D9D9"/>
        </bottom>
      </border>
    </dxf>
    <dxf>
      <font>
        <b/>
        <i val="0"/>
        <strike val="0"/>
        <condense val="0"/>
        <extend val="0"/>
        <outline val="0"/>
        <shadow val="0"/>
        <u val="none"/>
        <vertAlign val="baseline"/>
        <sz val="10"/>
        <color theme="0"/>
        <name val="Tajawal"/>
        <scheme val="none"/>
      </font>
      <fill>
        <patternFill patternType="solid">
          <fgColor indexed="64"/>
          <bgColor rgb="FF002657"/>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ill>
        <patternFill>
          <bgColor rgb="FF00B0F0"/>
        </patternFill>
      </fill>
    </dxf>
    <dxf>
      <font>
        <b/>
        <i val="0"/>
        <sz val="10"/>
        <color theme="0"/>
      </font>
      <fill>
        <patternFill>
          <bgColor rgb="FF00B2BA"/>
        </patternFill>
      </fill>
      <border>
        <left style="medium">
          <color theme="0" tint="-4.9989318521683403E-2"/>
        </left>
        <right style="medium">
          <color theme="0" tint="-4.9989318521683403E-2"/>
        </right>
        <top style="medium">
          <color theme="0" tint="-4.9989318521683403E-2"/>
        </top>
        <bottom style="medium">
          <color theme="0" tint="-4.9989318521683403E-2"/>
        </bottom>
      </border>
    </dxf>
  </dxfs>
  <tableStyles count="3" defaultTableStyle="TableStyleMedium2" defaultPivotStyle="PivotStyleLight16">
    <tableStyle name="Invisible" pivot="0" table="0" count="0" xr9:uid="{8BDA2ECE-8D88-4174-8D22-016CC68E8152}"/>
    <tableStyle name="jedco" pivot="0" table="0" count="2" xr9:uid="{3310A59B-A7DC-4FE8-9B6E-98364AEF38DE}">
      <tableStyleElement type="wholeTable" dxfId="135"/>
    </tableStyle>
    <tableStyle name="Slicer Style 1" pivot="0" table="0" count="1" xr9:uid="{3CC396B3-E212-42B5-860B-AD3D236EA381}">
      <tableStyleElement type="wholeTable" dxfId="134"/>
    </tableStyle>
  </tableStyles>
  <colors>
    <mruColors>
      <color rgb="FFFFC000"/>
      <color rgb="FFFF5B5B"/>
      <color rgb="FF62B6F3"/>
      <color rgb="FFBE5014"/>
      <color rgb="FF1AC082"/>
      <color rgb="FF004EAA"/>
      <color rgb="FF002657"/>
      <color rgb="FFF0853D"/>
      <color rgb="FF76BE6C"/>
      <color rgb="FFD66555"/>
    </mruColors>
  </colors>
  <extLst>
    <ext xmlns:x14="http://schemas.microsoft.com/office/spreadsheetml/2009/9/main" uri="{46F421CA-312F-682f-3DD2-61675219B42D}">
      <x14:dxfs count="1">
        <dxf>
          <font>
            <b/>
            <i val="0"/>
            <color theme="1"/>
          </font>
          <fill>
            <patternFill>
              <bgColor rgb="FFFFFFFF"/>
            </patternFill>
          </fill>
        </dxf>
      </x14:dxfs>
    </ext>
    <ext xmlns:x14="http://schemas.microsoft.com/office/spreadsheetml/2009/9/main" uri="{EB79DEF2-80B8-43e5-95BD-54CBDDF9020C}">
      <x14:slicerStyles defaultSlicerStyle="SlicerStyleLight1">
        <x14:slicerStyle name="jedco">
          <x14:slicerStyleElements>
            <x14:slicerStyleElement type="unselectedItemWith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1.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227370</xdr:rowOff>
    </xdr:from>
    <xdr:to>
      <xdr:col>13</xdr:col>
      <xdr:colOff>1552527</xdr:colOff>
      <xdr:row>2</xdr:row>
      <xdr:rowOff>236854</xdr:rowOff>
    </xdr:to>
    <mc:AlternateContent xmlns:mc="http://schemas.openxmlformats.org/markup-compatibility/2006">
      <mc:Choice xmlns:sle15="http://schemas.microsoft.com/office/drawing/2012/slicer" Requires="sle15">
        <xdr:graphicFrame macro="">
          <xdr:nvGraphicFramePr>
            <xdr:cNvPr id="2" name="Domain ID Filter 1">
              <a:extLst>
                <a:ext uri="{FF2B5EF4-FFF2-40B4-BE49-F238E27FC236}">
                  <a16:creationId xmlns:a16="http://schemas.microsoft.com/office/drawing/2014/main" id="{49D34003-D4FB-4416-AD3B-7DC72755CAED}"/>
                </a:ext>
              </a:extLst>
            </xdr:cNvPr>
            <xdr:cNvGraphicFramePr/>
          </xdr:nvGraphicFramePr>
          <xdr:xfrm>
            <a:off x="0" y="0"/>
            <a:ext cx="0" cy="0"/>
          </xdr:xfrm>
          <a:graphic>
            <a:graphicData uri="http://schemas.microsoft.com/office/drawing/2010/slicer">
              <sle:slicer xmlns:sle="http://schemas.microsoft.com/office/drawing/2010/slicer" name="Domain ID Filter 1"/>
            </a:graphicData>
          </a:graphic>
        </xdr:graphicFrame>
      </mc:Choice>
      <mc:Fallback>
        <xdr:sp macro="" textlink="">
          <xdr:nvSpPr>
            <xdr:cNvPr id="0" name=""/>
            <xdr:cNvSpPr>
              <a:spLocks noTextEdit="1"/>
            </xdr:cNvSpPr>
          </xdr:nvSpPr>
          <xdr:spPr>
            <a:xfrm>
              <a:off x="0" y="227370"/>
              <a:ext cx="21946418" cy="8684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227370</xdr:rowOff>
    </xdr:from>
    <xdr:to>
      <xdr:col>13</xdr:col>
      <xdr:colOff>1552527</xdr:colOff>
      <xdr:row>2</xdr:row>
      <xdr:rowOff>236854</xdr:rowOff>
    </xdr:to>
    <mc:AlternateContent xmlns:mc="http://schemas.openxmlformats.org/markup-compatibility/2006" xmlns:sle15="http://schemas.microsoft.com/office/drawing/2012/slicer">
      <mc:Choice Requires="sle15">
        <xdr:graphicFrame macro="">
          <xdr:nvGraphicFramePr>
            <xdr:cNvPr id="2" name="Domain ID Filter">
              <a:extLst>
                <a:ext uri="{FF2B5EF4-FFF2-40B4-BE49-F238E27FC236}">
                  <a16:creationId xmlns:a16="http://schemas.microsoft.com/office/drawing/2014/main" id="{48A2D703-0363-4A64-B9B3-C3F1D809CD37}"/>
                </a:ext>
              </a:extLst>
            </xdr:cNvPr>
            <xdr:cNvGraphicFramePr/>
          </xdr:nvGraphicFramePr>
          <xdr:xfrm>
            <a:off x="0" y="0"/>
            <a:ext cx="0" cy="0"/>
          </xdr:xfrm>
          <a:graphic>
            <a:graphicData uri="http://schemas.microsoft.com/office/drawing/2010/slicer">
              <sle:slicer xmlns:sle="http://schemas.microsoft.com/office/drawing/2010/slicer" name="Domain ID Filter"/>
            </a:graphicData>
          </a:graphic>
        </xdr:graphicFrame>
      </mc:Choice>
      <mc:Fallback xmlns="">
        <xdr:sp macro="" textlink="">
          <xdr:nvSpPr>
            <xdr:cNvPr id="0" name=""/>
            <xdr:cNvSpPr>
              <a:spLocks noTextEdit="1"/>
            </xdr:cNvSpPr>
          </xdr:nvSpPr>
          <xdr:spPr>
            <a:xfrm>
              <a:off x="0" y="227370"/>
              <a:ext cx="21958917" cy="87174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ebmail.stc.com.sa/KPMG/Khalifa%20Fund/RFP/Final%20-%20Submitted%20to%20Client/Khalifa%20Fund%20RFP%20v4.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ebmail.stc.com.sa/KPMG%20Projects/13%20Zadco/B%20-%20Client%20Deliverables/B3%20-%20SoW/Zadco_eContracts_Management_Solution_SoW%20V4.0%20(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ciwinnetapp01\Users\dbabatunde\AppData\Local\Microsoft\Windows\Temporary%20Internet%20Files\Content.Outlook\1D51M177\Cuauhtemoc%20Data%20Collection%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ebmail.stc.com.sa/nagraj/D/Projects/PASI/Templates/Requirement%20Gathering/PASI%20-%20SON-v1.1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ciwinnetapp01\Users\saramachandran\AppData\Local\Microsoft\Windows\Temporary%20Internet%20Files\Content.Outlook\UYDL21A1\GPS%20H2R%20Requirements%20Questionnai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Notice"/>
      <sheetName val="Contents"/>
      <sheetName val="A3"/>
      <sheetName val="A4"/>
      <sheetName val="A5"/>
      <sheetName val="A6"/>
      <sheetName val="B1"/>
      <sheetName val="B2"/>
      <sheetName val="B3"/>
      <sheetName val="B4"/>
      <sheetName val="B5"/>
      <sheetName val="B6"/>
      <sheetName val="B7"/>
      <sheetName val="B8"/>
      <sheetName val="B9"/>
      <sheetName val="B10"/>
      <sheetName val="B11"/>
      <sheetName val="C1"/>
      <sheetName val="C2"/>
      <sheetName val="C3"/>
      <sheetName val="D1"/>
      <sheetName val="E1"/>
      <sheetName val="E2"/>
      <sheetName val="E3"/>
      <sheetName val="E4"/>
      <sheetName val="E5"/>
      <sheetName val="E6"/>
      <sheetName val="F1"/>
      <sheetName val="G1"/>
      <sheetName val="G2"/>
      <sheetName val="G3"/>
      <sheetName val="HR SON"/>
      <sheetName val="Finance SON"/>
      <sheetName val="Procurement SON"/>
      <sheetName val="Core Processes SON"/>
      <sheetName val="Reports SON"/>
      <sheetName val="Technology SON"/>
      <sheetName val="ControlSheet"/>
      <sheetName val="SON Summary"/>
    </sheetNames>
    <sheetDataSet>
      <sheetData sheetId="0"/>
      <sheetData sheetId="1"/>
      <sheetData sheetId="2"/>
      <sheetData sheetId="3"/>
      <sheetData sheetId="4"/>
      <sheetData sheetId="5"/>
      <sheetData sheetId="6"/>
      <sheetData sheetId="7"/>
      <sheetData sheetId="8"/>
      <sheetData sheetId="9"/>
      <sheetData sheetId="10">
        <row r="53">
          <cell r="D53" t="str">
            <v>Standard</v>
          </cell>
        </row>
        <row r="54">
          <cell r="D54" t="str">
            <v>Customized</v>
          </cell>
        </row>
        <row r="55">
          <cell r="D55" t="str">
            <v>Bespoke</v>
          </cell>
        </row>
        <row r="56">
          <cell r="D56" t="str">
            <v>Not Available</v>
          </cell>
        </row>
        <row r="58">
          <cell r="D58" t="str">
            <v>High</v>
          </cell>
        </row>
        <row r="59">
          <cell r="D59" t="str">
            <v>Medium</v>
          </cell>
        </row>
        <row r="60">
          <cell r="D60" t="str">
            <v>Low</v>
          </cell>
        </row>
        <row r="61">
          <cell r="D61" t="str">
            <v>NA</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3">
          <cell r="K3" t="str">
            <v>0 / 0</v>
          </cell>
        </row>
        <row r="4">
          <cell r="K4" t="str">
            <v>0 / 0</v>
          </cell>
        </row>
        <row r="5">
          <cell r="K5" t="str">
            <v>0 / 0</v>
          </cell>
        </row>
        <row r="6">
          <cell r="K6" t="str">
            <v>0 / 0</v>
          </cell>
        </row>
        <row r="7">
          <cell r="K7" t="str">
            <v>0 / 0</v>
          </cell>
        </row>
        <row r="8">
          <cell r="K8" t="str">
            <v>0 / 0</v>
          </cell>
        </row>
        <row r="9">
          <cell r="K9" t="str">
            <v>0 / 0</v>
          </cell>
        </row>
        <row r="10">
          <cell r="K10" t="str">
            <v>0 / 0</v>
          </cell>
        </row>
        <row r="11">
          <cell r="K11" t="str">
            <v>0 / 0</v>
          </cell>
        </row>
        <row r="12">
          <cell r="K12" t="str">
            <v>0 / 0</v>
          </cell>
        </row>
        <row r="13">
          <cell r="K13" t="str">
            <v>0 / 0</v>
          </cell>
        </row>
        <row r="14">
          <cell r="K14" t="str">
            <v>0 / 0</v>
          </cell>
        </row>
        <row r="15">
          <cell r="K15" t="str">
            <v>0 / 0</v>
          </cell>
        </row>
        <row r="16">
          <cell r="K16" t="str">
            <v>0 / 0</v>
          </cell>
        </row>
        <row r="17">
          <cell r="K17" t="str">
            <v>0 / 0</v>
          </cell>
        </row>
        <row r="18">
          <cell r="K18" t="str">
            <v>0 / 0</v>
          </cell>
        </row>
        <row r="19">
          <cell r="K19" t="str">
            <v>0 / 0</v>
          </cell>
        </row>
        <row r="20">
          <cell r="K20" t="str">
            <v>0 / 0</v>
          </cell>
        </row>
        <row r="21">
          <cell r="K21" t="str">
            <v>0 / 0</v>
          </cell>
        </row>
        <row r="22">
          <cell r="K22" t="str">
            <v>0 / 0</v>
          </cell>
        </row>
        <row r="23">
          <cell r="K23" t="str">
            <v>0 / 0</v>
          </cell>
        </row>
        <row r="24">
          <cell r="K24" t="str">
            <v>0 / 0</v>
          </cell>
        </row>
        <row r="25">
          <cell r="K25" t="str">
            <v>0 / 0</v>
          </cell>
        </row>
        <row r="26">
          <cell r="K26" t="str">
            <v>0 / 0</v>
          </cell>
        </row>
        <row r="27">
          <cell r="K27" t="str">
            <v>0 / 0</v>
          </cell>
        </row>
        <row r="28">
          <cell r="K28" t="str">
            <v>0 / 0</v>
          </cell>
        </row>
        <row r="29">
          <cell r="K29" t="str">
            <v>0 / 0</v>
          </cell>
        </row>
        <row r="30">
          <cell r="K30" t="str">
            <v>0 / 0</v>
          </cell>
        </row>
        <row r="31">
          <cell r="K31" t="str">
            <v>0 / 0</v>
          </cell>
        </row>
        <row r="32">
          <cell r="K32" t="str">
            <v>0 / 0</v>
          </cell>
        </row>
        <row r="33">
          <cell r="K33" t="str">
            <v>0 / 0</v>
          </cell>
        </row>
        <row r="34">
          <cell r="K34" t="str">
            <v>0 / 0</v>
          </cell>
        </row>
        <row r="35">
          <cell r="K35" t="str">
            <v>0 / 0</v>
          </cell>
        </row>
        <row r="36">
          <cell r="K36" t="str">
            <v>0 / 0</v>
          </cell>
        </row>
        <row r="37">
          <cell r="K37" t="str">
            <v>0 / 0</v>
          </cell>
        </row>
        <row r="38">
          <cell r="K38" t="str">
            <v>0 / 0</v>
          </cell>
        </row>
        <row r="39">
          <cell r="K39" t="str">
            <v>0 / 0</v>
          </cell>
        </row>
        <row r="40">
          <cell r="K40" t="str">
            <v>0 / 0</v>
          </cell>
        </row>
        <row r="41">
          <cell r="K41" t="str">
            <v>0 / 0</v>
          </cell>
        </row>
        <row r="42">
          <cell r="K42" t="str">
            <v>0 / 0</v>
          </cell>
        </row>
        <row r="43">
          <cell r="K43" t="str">
            <v>0 / 0</v>
          </cell>
        </row>
        <row r="44">
          <cell r="K44" t="str">
            <v>0 / 0</v>
          </cell>
        </row>
        <row r="45">
          <cell r="K45" t="str">
            <v>0 / 0</v>
          </cell>
        </row>
        <row r="46">
          <cell r="K46" t="str">
            <v>0 / 0</v>
          </cell>
        </row>
        <row r="47">
          <cell r="K47" t="str">
            <v>0 / 0</v>
          </cell>
        </row>
        <row r="48">
          <cell r="K48" t="str">
            <v>0 / 0</v>
          </cell>
        </row>
        <row r="49">
          <cell r="K49" t="str">
            <v>0 / 0</v>
          </cell>
        </row>
        <row r="50">
          <cell r="K50" t="str">
            <v>0 / 0</v>
          </cell>
        </row>
        <row r="51">
          <cell r="K51" t="str">
            <v>0 / 0</v>
          </cell>
        </row>
        <row r="52">
          <cell r="K52" t="str">
            <v>0 / 0</v>
          </cell>
        </row>
        <row r="53">
          <cell r="K53" t="str">
            <v>0 / 0</v>
          </cell>
        </row>
        <row r="54">
          <cell r="K54" t="str">
            <v>0 / 0</v>
          </cell>
        </row>
        <row r="55">
          <cell r="K55" t="str">
            <v>0 / 0</v>
          </cell>
        </row>
        <row r="56">
          <cell r="K56" t="str">
            <v>0 / 0</v>
          </cell>
        </row>
      </sheetData>
      <sheetData sheetId="3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Document Control"/>
      <sheetName val="Notice"/>
      <sheetName val="Table of Contents"/>
      <sheetName val="A0"/>
      <sheetName val="A1"/>
      <sheetName val="A2"/>
      <sheetName val="A3"/>
      <sheetName val="A4"/>
      <sheetName val="B1"/>
      <sheetName val="C1"/>
      <sheetName val="C2"/>
      <sheetName val="C3"/>
      <sheetName val="C4"/>
      <sheetName val="C5"/>
      <sheetName val="C6"/>
      <sheetName val="C7"/>
      <sheetName val="C8"/>
      <sheetName val="C9"/>
      <sheetName val="ControlSheet"/>
      <sheetName val="C10"/>
      <sheetName val="C11"/>
      <sheetName val="C12"/>
      <sheetName val="C13"/>
      <sheetName val="C14"/>
      <sheetName val="C15"/>
      <sheetName val="About the SON"/>
      <sheetName val="SON - Tendering "/>
      <sheetName val="SON - Evaluation"/>
      <sheetName val="SON - Contracts Management"/>
      <sheetName val="SON - Spend Analysis"/>
      <sheetName val="SON - Collaboration Services"/>
      <sheetName val="SON - Common Services"/>
      <sheetName val="SON-Technology"/>
      <sheetName val="E1"/>
      <sheetName val="E2"/>
      <sheetName val="E3"/>
      <sheetName val="E4"/>
      <sheetName val="E5"/>
      <sheetName val="End of SoW Documen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ow r="54">
          <cell r="D54" t="str">
            <v>Standard</v>
          </cell>
        </row>
      </sheetData>
      <sheetData sheetId="16" refreshError="1"/>
      <sheetData sheetId="17" refreshError="1"/>
      <sheetData sheetId="18" refreshError="1"/>
      <sheetData sheetId="19">
        <row r="3">
          <cell r="A3">
            <v>0</v>
          </cell>
          <cell r="C3" t="str">
            <v>Project Sponsor                    - Account Mgr, key decision maker with the Bidder organisation</v>
          </cell>
        </row>
        <row r="4">
          <cell r="A4">
            <v>0</v>
          </cell>
          <cell r="C4" t="str">
            <v>Project Manager                  - Day to day project management of the implementation</v>
          </cell>
        </row>
        <row r="5">
          <cell r="A5">
            <v>0</v>
          </cell>
          <cell r="C5" t="str">
            <v>Functional Consultant       - Working knowledge of the solution, adoption of ZADCO processes.</v>
          </cell>
        </row>
        <row r="6">
          <cell r="A6">
            <v>0</v>
          </cell>
          <cell r="C6" t="str">
            <v>Technical Consultant         - Technical knowledge, integration, migration, Users accessibility</v>
          </cell>
        </row>
        <row r="7">
          <cell r="A7">
            <v>0</v>
          </cell>
          <cell r="C7" t="str">
            <v>Software Developer          - Solution knowledge, configuration / customisation requirements</v>
          </cell>
        </row>
        <row r="8">
          <cell r="A8">
            <v>0</v>
          </cell>
          <cell r="C8" t="str">
            <v>Database Administrator   - Database knowledge, reporting, integration.</v>
          </cell>
        </row>
        <row r="9">
          <cell r="A9">
            <v>0</v>
          </cell>
          <cell r="C9" t="str">
            <v>System Administrator       - System knowledge, User rights, workflow, reporting</v>
          </cell>
        </row>
        <row r="10">
          <cell r="A10">
            <v>0</v>
          </cell>
          <cell r="C10" t="str">
            <v>Trainers                                   - User (All levels) training across all functionality</v>
          </cell>
        </row>
        <row r="11">
          <cell r="A11">
            <v>0</v>
          </cell>
          <cell r="C11" t="str">
            <v>Support Resources             - User functional support across all modules (may cover reporting)</v>
          </cell>
        </row>
        <row r="12">
          <cell r="A12">
            <v>0</v>
          </cell>
          <cell r="C12" t="str">
            <v>Trainers                                   - User (All levels) training across all functionality</v>
          </cell>
        </row>
        <row r="13">
          <cell r="A13">
            <v>0</v>
          </cell>
          <cell r="C13" t="str">
            <v>Support Resources             - User functional support across all modules (may cover reporting)</v>
          </cell>
        </row>
        <row r="15">
          <cell r="C15">
            <v>0</v>
          </cell>
        </row>
        <row r="16">
          <cell r="C16">
            <v>0</v>
          </cell>
        </row>
        <row r="17">
          <cell r="C17">
            <v>0</v>
          </cell>
        </row>
        <row r="18">
          <cell r="C18">
            <v>0</v>
          </cell>
        </row>
        <row r="19">
          <cell r="C19">
            <v>0</v>
          </cell>
        </row>
        <row r="20">
          <cell r="C20">
            <v>0</v>
          </cell>
        </row>
        <row r="21">
          <cell r="C21">
            <v>0</v>
          </cell>
        </row>
        <row r="22">
          <cell r="C22">
            <v>0</v>
          </cell>
        </row>
        <row r="23">
          <cell r="C23" t="e">
            <v>#REF!</v>
          </cell>
        </row>
        <row r="24">
          <cell r="C24" t="e">
            <v>#REF!</v>
          </cell>
        </row>
        <row r="25">
          <cell r="C25" t="e">
            <v>#REF!</v>
          </cell>
        </row>
        <row r="26">
          <cell r="C26" t="e">
            <v>#REF!</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HR Process Questions"/>
      <sheetName val="HR Process Feedback"/>
    </sheetNames>
    <sheetDataSet>
      <sheetData sheetId="0" refreshError="1"/>
      <sheetData sheetId="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tructure"/>
      <sheetName val="ExistingRangeDetails"/>
      <sheetName val="1. Process 1"/>
      <sheetName val="2. Process 2"/>
      <sheetName val="3. Process 3"/>
      <sheetName val="4. Process 4"/>
      <sheetName val="5. Process 5"/>
      <sheetName val="6. Process 6"/>
      <sheetName val="5. Others"/>
      <sheetName val="6. Reports"/>
      <sheetName val="HR Setups Ans"/>
      <sheetName val="Manpower P&amp;B Ans"/>
      <sheetName val="HR Rec &amp; Prob Ans"/>
      <sheetName val="HR Administration Ans"/>
      <sheetName val="Performance Management Ans"/>
      <sheetName val="Training Management Ans"/>
      <sheetName val=" Transfers Ans"/>
      <sheetName val="Grievances and Penalties Ans"/>
      <sheetName val="End of Service Ans"/>
      <sheetName val="Others Ans"/>
      <sheetName val="Reports Ans"/>
      <sheetName val="Metadata"/>
      <sheetName val="User Managemen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Y</v>
          </cell>
          <cell r="F2" t="str">
            <v>High</v>
          </cell>
        </row>
        <row r="3">
          <cell r="A3" t="str">
            <v>N</v>
          </cell>
          <cell r="F3" t="str">
            <v>Medium</v>
          </cell>
        </row>
        <row r="4">
          <cell r="A4" t="str">
            <v>IF</v>
          </cell>
          <cell r="F4" t="str">
            <v>Low</v>
          </cell>
        </row>
        <row r="5">
          <cell r="F5" t="str">
            <v>NA</v>
          </cell>
        </row>
      </sheetData>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mographic Information"/>
      <sheetName val="Overall Scores"/>
      <sheetName val="Platform Degree of Fit Scores"/>
      <sheetName val="Category Ratings Scores"/>
      <sheetName val="Organization &amp; Positions"/>
      <sheetName val="Recruitment"/>
      <sheetName val="New Hire &amp; Onboarding"/>
      <sheetName val="Employee Data Administration"/>
      <sheetName val="Employee Relations"/>
      <sheetName val="Employee Development &amp; Training"/>
      <sheetName val="Performance Management"/>
      <sheetName val="Career &amp; Succession Planning"/>
      <sheetName val="Benefits"/>
      <sheetName val="Health &amp; Safety"/>
      <sheetName val="Compensation"/>
      <sheetName val="Separation"/>
      <sheetName val="pivot"/>
      <sheetName val="source"/>
      <sheetName val="Category Rating Details"/>
      <sheetName val="Data Validation"/>
      <sheetName val="The 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
          <cell r="A1">
            <v>0</v>
          </cell>
        </row>
        <row r="2">
          <cell r="A2">
            <v>1</v>
          </cell>
        </row>
        <row r="3">
          <cell r="A3">
            <v>2</v>
          </cell>
        </row>
        <row r="4">
          <cell r="A4">
            <v>3</v>
          </cell>
        </row>
      </sheetData>
      <sheetData sheetId="21"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3" Type="http://schemas.microsoft.com/office/2019/04/relationships/externalLinkLongPath" Target="https://sites.ey.com/sites/SANSDataManagementandGovernance/Shared%20Documents/SANS%20Data%20Management%20and%20Governance/SANS%20-%20Execution%20-%20Cybersecurity%20Retainer%20Service%20-%20Data%20Governance/Assessment%20Report/NDI%20&amp;%20NDMO%20Compliance%20Tool/SANS%20-%20NDI%20%20NDMO%20Assessment%20Tool_12.11.2025.xlsx?3C6CD5BC" TargetMode="External"/><Relationship Id="rId2" Type="http://schemas.openxmlformats.org/officeDocument/2006/relationships/externalLinkPath" Target="file:///\\3C6CD5BC\SANS%20-%20NDI%20%20NDMO%20Assessment%20Tool_12.11.202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tim A Alshehri" refreshedDate="45715.624236574076" createdVersion="8" refreshedVersion="8" minRefreshableVersion="3" recordCount="479" xr:uid="{C0578E49-B0BF-4394-BB58-89951DBED97F}">
  <cacheSource type="worksheet">
    <worksheetSource ref="H4:I499" sheet="MASTER" r:id="rId2"/>
  </cacheSource>
  <cacheFields count="2">
    <cacheField name="Priority" numFmtId="0">
      <sharedItems containsBlank="1"/>
    </cacheField>
    <cacheField name="NDMO Specifications" numFmtId="0">
      <sharedItems containsBlank="1" count="197">
        <s v="N/A"/>
        <s v="DG.1.1"/>
        <s v="DG.1.2"/>
        <s v="DG.1.4"/>
        <s v="DG.1.3"/>
        <s v="DG.6.1"/>
        <s v="DG.7.2"/>
        <s v="DG.2.1"/>
        <s v="DG.2.2"/>
        <s v="DG.5.1"/>
        <s v="DG.7.1 (3 &amp; 6)"/>
        <s v="DG.5.2"/>
        <s v="DG.5.3"/>
        <s v="DG.4.1"/>
        <s v="DG.4.3"/>
        <s v="DG.4.4"/>
        <s v="DG.4.2"/>
        <s v="DG.4.6"/>
        <s v="DG.4.8"/>
        <s v="DG.4.11"/>
        <s v="DG.4.9"/>
        <s v="DG.4.10"/>
        <s v="DG.4.7"/>
        <s v="DG.4.5"/>
        <s v="DG.7.1 (KPI 1)"/>
        <s v="DG.3.1"/>
        <s v="DG.6.2"/>
        <s v="DG.8.1"/>
        <s v="DG.8.2"/>
        <s v="DG.8.3"/>
        <s v="DG.7.1 (KPIs 2, 4, 5, 7 &amp; 8)"/>
        <s v="DC.1.1"/>
        <s v="DC.2.1"/>
        <s v="DC.3.1"/>
        <s v="DC.1.2"/>
        <s v="DC.3.2"/>
        <s v="DC.3.3"/>
        <s v="DC.5.1"/>
        <s v="DC.4.1"/>
        <s v="DC.3.4"/>
        <s v="DC.3.5"/>
        <s v="DSI.1.1"/>
        <s v="DSI.1.2"/>
        <s v="DSI.1.3"/>
        <s v="DSI.2.1"/>
        <s v="DSI.5.1"/>
        <s v="DSI.7.1"/>
        <s v="DSI.7.2"/>
        <s v="DSI.6.1"/>
        <s v="DSI.7.3"/>
        <s v="DSI.8.1"/>
        <s v="DSI.3.1"/>
        <s v="DSI.3.2"/>
        <s v="DSI.3.3"/>
        <s v="DSI.8.1 (1,2)"/>
        <s v="DSI.3.4"/>
        <s v="DSI.4.1"/>
        <s v="DSI.4.2"/>
        <s v="DQ.1.2"/>
        <s v="DQ.1.1"/>
        <s v="DQ.2.1"/>
        <s v="DQ.2.2"/>
        <s v="DQ.2.3"/>
        <s v="DQ.1.3"/>
        <s v="DQ.2.5"/>
        <s v="DQ.2.4"/>
        <s v="DQ.3.2"/>
        <s v="DQ.4.3"/>
        <s v="DQ.4.2"/>
        <s v="DQ.4.1"/>
        <s v="DQ.3.1"/>
        <s v="PDP.1.1"/>
        <s v="PDP.1.2"/>
        <s v="PDP.2.1"/>
        <s v="PDP.3.2"/>
        <s v="PDP.4.1"/>
        <s v="PDP.4.2"/>
        <s v="PDP.3.1"/>
        <s v="PDP.4.3"/>
        <s v="PDP.5.1"/>
        <s v="PDP.4.4"/>
        <s v="DVR.1.2"/>
        <s v="DVR.1.1"/>
        <s v="DVR.3.1"/>
        <s v="DVR.4.1_x000a_(1, 2, 6, 7)"/>
        <s v="DVR.2.1"/>
        <s v="DVR.2.2"/>
        <s v="DVR.2.3"/>
        <s v="DVR.2.4"/>
        <s v="DVR.4.1_x000a_(3,4,5)"/>
        <s v="DCM.1.1"/>
        <s v="DCM.1.2"/>
        <s v="DCM.1.4"/>
        <s v="DCM.1.3"/>
        <s v="DCM.3.1"/>
        <s v="DCM.2.1"/>
        <s v="DCM.4.1"/>
        <s v="DCM.4.2"/>
        <s v="DCM.4.3"/>
        <s v="DCM.4.4"/>
        <s v="DCM.5.1"/>
        <s v="DCM.4.5"/>
        <s v="DO.1.1"/>
        <s v="DO.1.3"/>
        <s v="DO.2.1"/>
        <s v="DO.1.2"/>
        <s v="DO.1.4"/>
        <s v="DO.5.1"/>
        <s v="DO.3.1"/>
        <s v="DO.3.2"/>
        <s v="DO.3.3"/>
        <s v="DO.3.4"/>
        <s v="DO.3.5"/>
        <s v="DO.4.1"/>
        <s v="DO.4.2"/>
        <s v="DO.4.3"/>
        <s v="MCM.1.1"/>
        <s v="MCM.4.3"/>
        <s v="MCM.1.2"/>
        <s v="MCM.1.3"/>
        <s v="MCM.5.1"/>
        <s v="MCM.2.1"/>
        <s v="MCM.2.2"/>
        <s v="MCM.3.2"/>
        <s v="MCM.5.3"/>
        <s v="MCM.3.1"/>
        <s v="MCM.5.4"/>
        <s v="MCM.6.1"/>
        <s v="MCM.4.2"/>
        <s v="MCM.4.4"/>
        <s v="MCM.4.5"/>
        <s v="MCM.4.6"/>
        <s v="MCM.4.7"/>
        <s v="MCM.5.2"/>
        <s v="MCM.4.1"/>
        <s v="MCM.6.2"/>
        <s v="RMD.1.1"/>
        <s v="RMD.3.1"/>
        <s v="RMD.4.1"/>
        <s v="RMD.6.1"/>
        <s v="RMD.6.2"/>
        <s v="RMD.1.2"/>
        <s v="RMD.1.3"/>
        <s v="RMD.1.4"/>
        <s v="RMD.2.1"/>
        <s v="RMD.5.1"/>
        <s v="RMD.4.2"/>
        <s v="RMD.5.2"/>
        <s v="RMD.2.2"/>
        <s v="RMD.2.3"/>
        <s v="RMD.2.4"/>
        <s v="RMD.2.5"/>
        <s v="RMD.4.3"/>
        <s v="RMD.4.4"/>
        <s v="BIA.1.1"/>
        <s v="BIA.1.2"/>
        <s v="BIA.1.3"/>
        <s v="BIA.1.4"/>
        <s v="BIA.3.1"/>
        <s v="BIA.5.1"/>
        <s v="BIA.4.1"/>
        <s v="BIA.2.1"/>
        <s v="BIA.2.2"/>
        <s v="BIA.3.2"/>
        <s v="DAM.1.1"/>
        <s v="DAM.3.1"/>
        <s v="DAM.3.2"/>
        <s v="DAM.3.3"/>
        <s v="DAM.2.1"/>
        <s v="DAM.6.1"/>
        <s v="DAM.5.1"/>
        <s v="DAM.5.2"/>
        <s v="DAM.3.4"/>
        <s v="DAM.3.5"/>
        <s v="DAM.4.1"/>
        <s v="DAM.7.1"/>
        <s v="DAM.4.2"/>
        <s v="FOI.1.1"/>
        <s v="FOI.2.1"/>
        <s v="FOI.3.6"/>
        <s v="FOI.3.1"/>
        <s v="FOI.3.2"/>
        <s v="FOI.3.3"/>
        <s v="FOI.3.4"/>
        <s v="FOI.3.5"/>
        <s v="FOI.4.1"/>
        <s v="OD.1.1"/>
        <s v="OD.2.1"/>
        <s v="OD.4.1"/>
        <s v="OD.3.1"/>
        <s v="OD.3.2"/>
        <s v="OD.3.4"/>
        <s v="OD.3.3"/>
        <s v="OD.3.5"/>
        <s v="OD.3.6"/>
        <s v="OD.5.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s v="N/A"/>
    <x v="0"/>
  </r>
  <r>
    <s v="P1"/>
    <x v="1"/>
  </r>
  <r>
    <s v="P1"/>
    <x v="2"/>
  </r>
  <r>
    <s v="P1"/>
    <x v="3"/>
  </r>
  <r>
    <s v="P1"/>
    <x v="4"/>
  </r>
  <r>
    <s v="N/A"/>
    <x v="0"/>
  </r>
  <r>
    <s v="N/A"/>
    <x v="0"/>
  </r>
  <r>
    <s v="P2"/>
    <x v="5"/>
  </r>
  <r>
    <s v="P2"/>
    <x v="6"/>
  </r>
  <r>
    <s v="P1"/>
    <x v="7"/>
  </r>
  <r>
    <s v="P1"/>
    <x v="8"/>
  </r>
  <r>
    <s v="N/A"/>
    <x v="0"/>
  </r>
  <r>
    <s v="N/A"/>
    <x v="0"/>
  </r>
  <r>
    <s v="P2"/>
    <x v="9"/>
  </r>
  <r>
    <s v="P2"/>
    <x v="10"/>
  </r>
  <r>
    <s v="P2"/>
    <x v="11"/>
  </r>
  <r>
    <s v="P2"/>
    <x v="12"/>
  </r>
  <r>
    <s v="N/A"/>
    <x v="0"/>
  </r>
  <r>
    <s v="P1"/>
    <x v="13"/>
  </r>
  <r>
    <s v="P1"/>
    <x v="14"/>
  </r>
  <r>
    <s v="P1"/>
    <x v="15"/>
  </r>
  <r>
    <s v="P1"/>
    <x v="16"/>
  </r>
  <r>
    <s v="P1"/>
    <x v="17"/>
  </r>
  <r>
    <s v="P1"/>
    <x v="18"/>
  </r>
  <r>
    <s v="P1"/>
    <x v="19"/>
  </r>
  <r>
    <s v="P1"/>
    <x v="20"/>
  </r>
  <r>
    <s v="P1"/>
    <x v="21"/>
  </r>
  <r>
    <s v="P1"/>
    <x v="22"/>
  </r>
  <r>
    <s v="P1"/>
    <x v="23"/>
  </r>
  <r>
    <s v="N/A"/>
    <x v="0"/>
  </r>
  <r>
    <s v="N/A"/>
    <x v="0"/>
  </r>
  <r>
    <s v="P2"/>
    <x v="24"/>
  </r>
  <r>
    <s v="N/A"/>
    <x v="0"/>
  </r>
  <r>
    <s v="N/A"/>
    <x v="0"/>
  </r>
  <r>
    <s v="N/A"/>
    <x v="0"/>
  </r>
  <r>
    <s v="N/A"/>
    <x v="0"/>
  </r>
  <r>
    <s v="P1"/>
    <x v="25"/>
  </r>
  <r>
    <s v="P2"/>
    <x v="26"/>
  </r>
  <r>
    <s v="P1"/>
    <x v="3"/>
  </r>
  <r>
    <s v="P2"/>
    <x v="27"/>
  </r>
  <r>
    <s v="P3"/>
    <x v="28"/>
  </r>
  <r>
    <s v="P2"/>
    <x v="29"/>
  </r>
  <r>
    <s v="P2"/>
    <x v="30"/>
  </r>
  <r>
    <s v="N/A"/>
    <x v="0"/>
  </r>
  <r>
    <s v="N/A"/>
    <x v="0"/>
  </r>
  <r>
    <s v="P1"/>
    <x v="31"/>
  </r>
  <r>
    <s v="N/A"/>
    <x v="0"/>
  </r>
  <r>
    <s v="N/A"/>
    <x v="0"/>
  </r>
  <r>
    <s v="N/A"/>
    <x v="0"/>
  </r>
  <r>
    <s v="N/A"/>
    <x v="0"/>
  </r>
  <r>
    <s v="N/A"/>
    <x v="0"/>
  </r>
  <r>
    <s v="As specified _x000a_by NCA"/>
    <x v="32"/>
  </r>
  <r>
    <s v="P1"/>
    <x v="33"/>
  </r>
  <r>
    <s v="P1"/>
    <x v="34"/>
  </r>
  <r>
    <s v="P1"/>
    <x v="35"/>
  </r>
  <r>
    <s v="P1"/>
    <x v="36"/>
  </r>
  <r>
    <s v="N/A"/>
    <x v="0"/>
  </r>
  <r>
    <s v="N/A"/>
    <x v="0"/>
  </r>
  <r>
    <s v="P2"/>
    <x v="37"/>
  </r>
  <r>
    <s v="P2"/>
    <x v="38"/>
  </r>
  <r>
    <s v="N/A"/>
    <x v="0"/>
  </r>
  <r>
    <s v="N/A"/>
    <x v="0"/>
  </r>
  <r>
    <s v="N/A"/>
    <x v="0"/>
  </r>
  <r>
    <s v="P2"/>
    <x v="39"/>
  </r>
  <r>
    <s v="P2"/>
    <x v="40"/>
  </r>
  <r>
    <s v="N/A"/>
    <x v="0"/>
  </r>
  <r>
    <s v="N/A"/>
    <x v="0"/>
  </r>
  <r>
    <s v="N/A"/>
    <x v="0"/>
  </r>
  <r>
    <s v="N/A"/>
    <x v="41"/>
  </r>
  <r>
    <s v="N/A"/>
    <x v="0"/>
  </r>
  <r>
    <s v="P1"/>
    <x v="42"/>
  </r>
  <r>
    <s v="P1"/>
    <x v="43"/>
  </r>
  <r>
    <s v="N/A"/>
    <x v="0"/>
  </r>
  <r>
    <s v="N/A"/>
    <x v="0"/>
  </r>
  <r>
    <s v="N/A"/>
    <x v="0"/>
  </r>
  <r>
    <s v="P2"/>
    <x v="44"/>
  </r>
  <r>
    <s v="N/A"/>
    <x v="0"/>
  </r>
  <r>
    <s v="N/A"/>
    <x v="0"/>
  </r>
  <r>
    <s v="N/A"/>
    <x v="0"/>
  </r>
  <r>
    <s v="N/A"/>
    <x v="0"/>
  </r>
  <r>
    <s v="P1"/>
    <x v="45"/>
  </r>
  <r>
    <s v="N/A"/>
    <x v="0"/>
  </r>
  <r>
    <s v="P2"/>
    <x v="46"/>
  </r>
  <r>
    <s v="P1"/>
    <x v="47"/>
  </r>
  <r>
    <s v="P1"/>
    <x v="45"/>
  </r>
  <r>
    <s v="N/A"/>
    <x v="0"/>
  </r>
  <r>
    <s v="N/A"/>
    <x v="0"/>
  </r>
  <r>
    <s v="P1"/>
    <x v="48"/>
  </r>
  <r>
    <s v="N/A"/>
    <x v="0"/>
  </r>
  <r>
    <s v="P2"/>
    <x v="46"/>
  </r>
  <r>
    <s v="P1"/>
    <x v="47"/>
  </r>
  <r>
    <s v="P2"/>
    <x v="49"/>
  </r>
  <r>
    <s v="P2"/>
    <x v="50"/>
  </r>
  <r>
    <s v="N/A"/>
    <x v="0"/>
  </r>
  <r>
    <s v="N/A"/>
    <x v="0"/>
  </r>
  <r>
    <s v="N/A"/>
    <x v="0"/>
  </r>
  <r>
    <s v="P1"/>
    <x v="51"/>
  </r>
  <r>
    <s v="P1"/>
    <x v="52"/>
  </r>
  <r>
    <s v="N/A"/>
    <x v="0"/>
  </r>
  <r>
    <s v="P2"/>
    <x v="53"/>
  </r>
  <r>
    <s v="P2"/>
    <x v="54"/>
  </r>
  <r>
    <s v="P3"/>
    <x v="55"/>
  </r>
  <r>
    <s v="N/A"/>
    <x v="0"/>
  </r>
  <r>
    <s v="N/A"/>
    <x v="0"/>
  </r>
  <r>
    <s v="N/A"/>
    <x v="0"/>
  </r>
  <r>
    <s v="P2"/>
    <x v="56"/>
  </r>
  <r>
    <s v="P2"/>
    <x v="57"/>
  </r>
  <r>
    <s v="N/A"/>
    <x v="0"/>
  </r>
  <r>
    <s v="N/A"/>
    <x v="0"/>
  </r>
  <r>
    <s v="N/A"/>
    <x v="0"/>
  </r>
  <r>
    <s v="P2"/>
    <x v="56"/>
  </r>
  <r>
    <s v="P2"/>
    <x v="57"/>
  </r>
  <r>
    <s v="N/A"/>
    <x v="0"/>
  </r>
  <r>
    <s v="N/A"/>
    <x v="0"/>
  </r>
  <r>
    <s v="N/A"/>
    <x v="0"/>
  </r>
  <r>
    <s v="P1"/>
    <x v="58"/>
  </r>
  <r>
    <s v="N/A"/>
    <x v="0"/>
  </r>
  <r>
    <s v="N/A"/>
    <x v="0"/>
  </r>
  <r>
    <s v="N/A"/>
    <x v="0"/>
  </r>
  <r>
    <s v="N/A"/>
    <x v="0"/>
  </r>
  <r>
    <s v="N/A"/>
    <x v="0"/>
  </r>
  <r>
    <s v="N/A"/>
    <x v="0"/>
  </r>
  <r>
    <s v="N/A"/>
    <x v="0"/>
  </r>
  <r>
    <s v="N/A"/>
    <x v="0"/>
  </r>
  <r>
    <s v="P1"/>
    <x v="59"/>
  </r>
  <r>
    <s v="P2"/>
    <x v="60"/>
  </r>
  <r>
    <s v="P2"/>
    <x v="61"/>
  </r>
  <r>
    <s v="P2"/>
    <x v="62"/>
  </r>
  <r>
    <s v="P1"/>
    <x v="63"/>
  </r>
  <r>
    <s v="P2"/>
    <x v="62"/>
  </r>
  <r>
    <s v="P2"/>
    <x v="64"/>
  </r>
  <r>
    <s v="P2"/>
    <x v="65"/>
  </r>
  <r>
    <s v="N/A"/>
    <x v="0"/>
  </r>
  <r>
    <s v="N/A"/>
    <x v="0"/>
  </r>
  <r>
    <s v="N/A"/>
    <x v="0"/>
  </r>
  <r>
    <s v="P2"/>
    <x v="66"/>
  </r>
  <r>
    <s v="N/A"/>
    <x v="0"/>
  </r>
  <r>
    <s v="N/A"/>
    <x v="0"/>
  </r>
  <r>
    <s v="N/A"/>
    <x v="0"/>
  </r>
  <r>
    <s v="N/A"/>
    <x v="0"/>
  </r>
  <r>
    <s v="N/A"/>
    <x v="0"/>
  </r>
  <r>
    <s v="P2"/>
    <x v="61"/>
  </r>
  <r>
    <s v="N/A"/>
    <x v="0"/>
  </r>
  <r>
    <s v="P2"/>
    <x v="61"/>
  </r>
  <r>
    <s v="P3"/>
    <x v="67"/>
  </r>
  <r>
    <s v="P3"/>
    <x v="68"/>
  </r>
  <r>
    <s v="P2"/>
    <x v="69"/>
  </r>
  <r>
    <s v="P2"/>
    <x v="70"/>
  </r>
  <r>
    <s v="N/A"/>
    <x v="0"/>
  </r>
  <r>
    <s v="N/A"/>
    <x v="0"/>
  </r>
  <r>
    <s v="N/A"/>
    <x v="0"/>
  </r>
  <r>
    <s v="N/A"/>
    <x v="0"/>
  </r>
  <r>
    <s v="N/A"/>
    <x v="0"/>
  </r>
  <r>
    <s v="N/A"/>
    <x v="0"/>
  </r>
  <r>
    <s v="N/A"/>
    <x v="0"/>
  </r>
  <r>
    <s v="N/A"/>
    <x v="0"/>
  </r>
  <r>
    <s v="N/A"/>
    <x v="0"/>
  </r>
  <r>
    <s v="N/A"/>
    <x v="0"/>
  </r>
  <r>
    <s v="P1"/>
    <x v="71"/>
  </r>
  <r>
    <s v="P1"/>
    <x v="72"/>
  </r>
  <r>
    <s v="N/A"/>
    <x v="0"/>
  </r>
  <r>
    <s v="N/A"/>
    <x v="0"/>
  </r>
  <r>
    <s v="P1"/>
    <x v="73"/>
  </r>
  <r>
    <s v="N/A"/>
    <x v="0"/>
  </r>
  <r>
    <s v="N/A"/>
    <x v="0"/>
  </r>
  <r>
    <s v="N/A"/>
    <x v="0"/>
  </r>
  <r>
    <s v="N/A"/>
    <x v="0"/>
  </r>
  <r>
    <s v="P1"/>
    <x v="74"/>
  </r>
  <r>
    <s v="N/A"/>
    <x v="0"/>
  </r>
  <r>
    <s v="P2"/>
    <x v="75"/>
  </r>
  <r>
    <s v="P2"/>
    <x v="76"/>
  </r>
  <r>
    <s v="P2"/>
    <x v="75"/>
  </r>
  <r>
    <s v="P2"/>
    <x v="77"/>
  </r>
  <r>
    <s v="N/A"/>
    <x v="0"/>
  </r>
  <r>
    <s v="P3"/>
    <x v="78"/>
  </r>
  <r>
    <s v="P2"/>
    <x v="76"/>
  </r>
  <r>
    <s v="P2"/>
    <x v="79"/>
  </r>
  <r>
    <s v="N/A"/>
    <x v="0"/>
  </r>
  <r>
    <s v="P2"/>
    <x v="80"/>
  </r>
  <r>
    <s v="N/A"/>
    <x v="0"/>
  </r>
  <r>
    <s v="N/A"/>
    <x v="0"/>
  </r>
  <r>
    <s v="N/A"/>
    <x v="0"/>
  </r>
  <r>
    <s v="P1"/>
    <x v="81"/>
  </r>
  <r>
    <s v="P1"/>
    <x v="82"/>
  </r>
  <r>
    <s v="P1"/>
    <x v="82"/>
  </r>
  <r>
    <s v="P3"/>
    <x v="83"/>
  </r>
  <r>
    <s v="N/A"/>
    <x v="0"/>
  </r>
  <r>
    <s v="N/A"/>
    <x v="0"/>
  </r>
  <r>
    <s v="P2"/>
    <x v="84"/>
  </r>
  <r>
    <s v="N/A"/>
    <x v="0"/>
  </r>
  <r>
    <s v="N/A"/>
    <x v="0"/>
  </r>
  <r>
    <s v="N/A"/>
    <x v="0"/>
  </r>
  <r>
    <s v="N/A"/>
    <x v="0"/>
  </r>
  <r>
    <s v="N/A"/>
    <x v="0"/>
  </r>
  <r>
    <s v="P2"/>
    <x v="85"/>
  </r>
  <r>
    <s v="P2"/>
    <x v="86"/>
  </r>
  <r>
    <s v="P2"/>
    <x v="87"/>
  </r>
  <r>
    <s v="P2"/>
    <x v="88"/>
  </r>
  <r>
    <s v="P1"/>
    <x v="89"/>
  </r>
  <r>
    <s v="N/A"/>
    <x v="0"/>
  </r>
  <r>
    <s v="N/A"/>
    <x v="0"/>
  </r>
  <r>
    <s v="P1"/>
    <x v="90"/>
  </r>
  <r>
    <s v="P1"/>
    <x v="91"/>
  </r>
  <r>
    <s v="N/A"/>
    <x v="0"/>
  </r>
  <r>
    <s v="P1"/>
    <x v="92"/>
  </r>
  <r>
    <s v="P1"/>
    <x v="92"/>
  </r>
  <r>
    <s v="N/A"/>
    <x v="0"/>
  </r>
  <r>
    <s v="N/A"/>
    <x v="0"/>
  </r>
  <r>
    <s v="N/A"/>
    <x v="0"/>
  </r>
  <r>
    <s v="P1"/>
    <x v="93"/>
  </r>
  <r>
    <s v="N/A"/>
    <x v="0"/>
  </r>
  <r>
    <s v="P2"/>
    <x v="94"/>
  </r>
  <r>
    <s v="N/A"/>
    <x v="0"/>
  </r>
  <r>
    <s v="N/A"/>
    <x v="0"/>
  </r>
  <r>
    <s v="N/A"/>
    <x v="0"/>
  </r>
  <r>
    <s v="P1"/>
    <x v="95"/>
  </r>
  <r>
    <s v="P3"/>
    <x v="96"/>
  </r>
  <r>
    <s v="P2"/>
    <x v="97"/>
  </r>
  <r>
    <s v="P2"/>
    <x v="98"/>
  </r>
  <r>
    <s v="N/A"/>
    <x v="0"/>
  </r>
  <r>
    <s v="P2"/>
    <x v="97"/>
  </r>
  <r>
    <s v="P2"/>
    <x v="98"/>
  </r>
  <r>
    <s v="N/A"/>
    <x v="0"/>
  </r>
  <r>
    <s v="N/A"/>
    <x v="0"/>
  </r>
  <r>
    <s v="N/A"/>
    <x v="0"/>
  </r>
  <r>
    <s v="P2"/>
    <x v="99"/>
  </r>
  <r>
    <s v="P2"/>
    <x v="100"/>
  </r>
  <r>
    <s v="N/A"/>
    <x v="0"/>
  </r>
  <r>
    <s v="N/A"/>
    <x v="0"/>
  </r>
  <r>
    <s v="N/A"/>
    <x v="0"/>
  </r>
  <r>
    <s v="P3"/>
    <x v="101"/>
  </r>
  <r>
    <s v="N/A"/>
    <x v="0"/>
  </r>
  <r>
    <s v="N/A"/>
    <x v="0"/>
  </r>
  <r>
    <s v="N/A"/>
    <x v="0"/>
  </r>
  <r>
    <s v="N/A"/>
    <x v="0"/>
  </r>
  <r>
    <s v="N/A"/>
    <x v="0"/>
  </r>
  <r>
    <s v="P1"/>
    <x v="102"/>
  </r>
  <r>
    <s v="P1"/>
    <x v="103"/>
  </r>
  <r>
    <s v="P1"/>
    <x v="104"/>
  </r>
  <r>
    <s v="P2"/>
    <x v="105"/>
  </r>
  <r>
    <s v="P2"/>
    <x v="106"/>
  </r>
  <r>
    <s v="N/A"/>
    <x v="0"/>
  </r>
  <r>
    <s v="P2"/>
    <x v="105"/>
  </r>
  <r>
    <s v="P2"/>
    <x v="106"/>
  </r>
  <r>
    <s v="N/A"/>
    <x v="0"/>
  </r>
  <r>
    <s v="N/A"/>
    <x v="0"/>
  </r>
  <r>
    <s v="N/A"/>
    <x v="0"/>
  </r>
  <r>
    <s v="N/A"/>
    <x v="0"/>
  </r>
  <r>
    <s v="P2"/>
    <x v="107"/>
  </r>
  <r>
    <s v="N/A"/>
    <x v="0"/>
  </r>
  <r>
    <s v="N/A"/>
    <x v="0"/>
  </r>
  <r>
    <s v="P2"/>
    <x v="108"/>
  </r>
  <r>
    <s v="P2"/>
    <x v="109"/>
  </r>
  <r>
    <s v="P2"/>
    <x v="110"/>
  </r>
  <r>
    <s v="P3"/>
    <x v="111"/>
  </r>
  <r>
    <s v="N/A"/>
    <x v="0"/>
  </r>
  <r>
    <s v="P2"/>
    <x v="108"/>
  </r>
  <r>
    <s v="N/A"/>
    <x v="0"/>
  </r>
  <r>
    <s v="P2"/>
    <x v="112"/>
  </r>
  <r>
    <s v="N/A"/>
    <x v="0"/>
  </r>
  <r>
    <s v="N/A"/>
    <x v="0"/>
  </r>
  <r>
    <s v="N/A"/>
    <x v="0"/>
  </r>
  <r>
    <s v="N/A"/>
    <x v="0"/>
  </r>
  <r>
    <s v="P2"/>
    <x v="113"/>
  </r>
  <r>
    <s v="N/A"/>
    <x v="0"/>
  </r>
  <r>
    <s v="P2"/>
    <x v="114"/>
  </r>
  <r>
    <s v="N/A"/>
    <x v="0"/>
  </r>
  <r>
    <s v="N/A"/>
    <x v="0"/>
  </r>
  <r>
    <s v="N/A"/>
    <x v="0"/>
  </r>
  <r>
    <s v="N/A"/>
    <x v="0"/>
  </r>
  <r>
    <s v="N/A"/>
    <x v="0"/>
  </r>
  <r>
    <s v="P2"/>
    <x v="115"/>
  </r>
  <r>
    <s v="N/A"/>
    <x v="0"/>
  </r>
  <r>
    <s v="N/A"/>
    <x v="0"/>
  </r>
  <r>
    <s v="N/A"/>
    <x v="0"/>
  </r>
  <r>
    <s v="P1"/>
    <x v="116"/>
  </r>
  <r>
    <s v="P1"/>
    <x v="117"/>
  </r>
  <r>
    <s v="N/A"/>
    <x v="0"/>
  </r>
  <r>
    <s v="N/A"/>
    <x v="0"/>
  </r>
  <r>
    <s v="N/A"/>
    <x v="0"/>
  </r>
  <r>
    <s v="N/A"/>
    <x v="0"/>
  </r>
  <r>
    <s v="N/A"/>
    <x v="0"/>
  </r>
  <r>
    <s v="N/A"/>
    <x v="0"/>
  </r>
  <r>
    <s v="P1"/>
    <x v="118"/>
  </r>
  <r>
    <s v="P1"/>
    <x v="119"/>
  </r>
  <r>
    <s v="N/A"/>
    <x v="0"/>
  </r>
  <r>
    <s v="N/A"/>
    <x v="0"/>
  </r>
  <r>
    <s v="P2"/>
    <x v="120"/>
  </r>
  <r>
    <s v="P2"/>
    <x v="121"/>
  </r>
  <r>
    <s v="P2"/>
    <x v="122"/>
  </r>
  <r>
    <s v="P3"/>
    <x v="123"/>
  </r>
  <r>
    <s v="P2"/>
    <x v="124"/>
  </r>
  <r>
    <s v="P2"/>
    <x v="125"/>
  </r>
  <r>
    <s v="P2"/>
    <x v="126"/>
  </r>
  <r>
    <s v="P2"/>
    <x v="127"/>
  </r>
  <r>
    <s v="N/A"/>
    <x v="0"/>
  </r>
  <r>
    <s v="N/A"/>
    <x v="0"/>
  </r>
  <r>
    <s v="N/A"/>
    <x v="0"/>
  </r>
  <r>
    <s v="N/A"/>
    <x v="0"/>
  </r>
  <r>
    <s v="N/A"/>
    <x v="0"/>
  </r>
  <r>
    <s v="N/A"/>
    <x v="0"/>
  </r>
  <r>
    <s v="P2"/>
    <x v="128"/>
  </r>
  <r>
    <s v="P2"/>
    <x v="129"/>
  </r>
  <r>
    <s v="P1"/>
    <x v="130"/>
  </r>
  <r>
    <s v="P3"/>
    <x v="131"/>
  </r>
  <r>
    <s v="P2"/>
    <x v="132"/>
  </r>
  <r>
    <s v="N/A"/>
    <x v="0"/>
  </r>
  <r>
    <s v="P2"/>
    <x v="133"/>
  </r>
  <r>
    <s v="N/A"/>
    <x v="0"/>
  </r>
  <r>
    <s v="P2"/>
    <x v="134"/>
  </r>
  <r>
    <s v="N/A"/>
    <x v="0"/>
  </r>
  <r>
    <s v="P2"/>
    <x v="135"/>
  </r>
  <r>
    <s v="N/A"/>
    <x v="0"/>
  </r>
  <r>
    <s v="N/A"/>
    <x v="0"/>
  </r>
  <r>
    <s v="P1"/>
    <x v="136"/>
  </r>
  <r>
    <s v="N/A"/>
    <x v="0"/>
  </r>
  <r>
    <s v="P2"/>
    <x v="137"/>
  </r>
  <r>
    <s v="P1"/>
    <x v="138"/>
  </r>
  <r>
    <s v="P2"/>
    <x v="139"/>
  </r>
  <r>
    <s v="P2"/>
    <x v="140"/>
  </r>
  <r>
    <s v="N/A"/>
    <x v="0"/>
  </r>
  <r>
    <s v="N/A"/>
    <x v="0"/>
  </r>
  <r>
    <s v="N/A"/>
    <x v="0"/>
  </r>
  <r>
    <s v="P1"/>
    <x v="141"/>
  </r>
  <r>
    <s v="P1"/>
    <x v="142"/>
  </r>
  <r>
    <s v="P1"/>
    <x v="143"/>
  </r>
  <r>
    <s v="P1"/>
    <x v="144"/>
  </r>
  <r>
    <s v="P2"/>
    <x v="145"/>
  </r>
  <r>
    <s v="P2"/>
    <x v="146"/>
  </r>
  <r>
    <s v="N/A"/>
    <x v="0"/>
  </r>
  <r>
    <s v="P2"/>
    <x v="147"/>
  </r>
  <r>
    <s v="N/A"/>
    <x v="0"/>
  </r>
  <r>
    <s v="N/A"/>
    <x v="0"/>
  </r>
  <r>
    <s v="P1"/>
    <x v="148"/>
  </r>
  <r>
    <s v="P1"/>
    <x v="149"/>
  </r>
  <r>
    <s v="P2"/>
    <x v="150"/>
  </r>
  <r>
    <s v="P2"/>
    <x v="151"/>
  </r>
  <r>
    <s v="P2"/>
    <x v="152"/>
  </r>
  <r>
    <s v="P2"/>
    <x v="153"/>
  </r>
  <r>
    <s v="N/A"/>
    <x v="0"/>
  </r>
  <r>
    <s v="N/A"/>
    <x v="0"/>
  </r>
  <r>
    <s v="N/A"/>
    <x v="0"/>
  </r>
  <r>
    <s v="P1"/>
    <x v="154"/>
  </r>
  <r>
    <s v="N/A"/>
    <x v="0"/>
  </r>
  <r>
    <s v="N/A"/>
    <x v="0"/>
  </r>
  <r>
    <s v="N/A"/>
    <x v="0"/>
  </r>
  <r>
    <s v="N/A"/>
    <x v="0"/>
  </r>
  <r>
    <s v="N/A"/>
    <x v="0"/>
  </r>
  <r>
    <s v="N/A"/>
    <x v="0"/>
  </r>
  <r>
    <s v="P1"/>
    <x v="155"/>
  </r>
  <r>
    <s v="P1"/>
    <x v="155"/>
  </r>
  <r>
    <s v="P1"/>
    <x v="156"/>
  </r>
  <r>
    <s v="P1"/>
    <x v="157"/>
  </r>
  <r>
    <s v="N/A"/>
    <x v="0"/>
  </r>
  <r>
    <s v="P2"/>
    <x v="158"/>
  </r>
  <r>
    <s v="N/A"/>
    <x v="0"/>
  </r>
  <r>
    <s v="P3"/>
    <x v="159"/>
  </r>
  <r>
    <s v="N/A"/>
    <x v="0"/>
  </r>
  <r>
    <s v="P2"/>
    <x v="160"/>
  </r>
  <r>
    <s v="N/A"/>
    <x v="0"/>
  </r>
  <r>
    <s v="N/A"/>
    <x v="0"/>
  </r>
  <r>
    <s v="N/A"/>
    <x v="0"/>
  </r>
  <r>
    <s v="N/A"/>
    <x v="0"/>
  </r>
  <r>
    <s v="N/A"/>
    <x v="0"/>
  </r>
  <r>
    <s v="N/A"/>
    <x v="0"/>
  </r>
  <r>
    <s v="N/A"/>
    <x v="0"/>
  </r>
  <r>
    <s v="N/A"/>
    <x v="0"/>
  </r>
  <r>
    <s v="N/A"/>
    <x v="0"/>
  </r>
  <r>
    <s v="P2"/>
    <x v="161"/>
  </r>
  <r>
    <s v="P2"/>
    <x v="162"/>
  </r>
  <r>
    <s v="N/A"/>
    <x v="0"/>
  </r>
  <r>
    <s v="N/A"/>
    <x v="0"/>
  </r>
  <r>
    <s v="P2"/>
    <x v="163"/>
  </r>
  <r>
    <s v="N/A"/>
    <x v="0"/>
  </r>
  <r>
    <s v="N/A"/>
    <x v="0"/>
  </r>
  <r>
    <s v="N/A"/>
    <x v="0"/>
  </r>
  <r>
    <s v="N/A"/>
    <x v="0"/>
  </r>
  <r>
    <s v="N/A"/>
    <x v="0"/>
  </r>
  <r>
    <s v="P2"/>
    <x v="160"/>
  </r>
  <r>
    <s v="N/A"/>
    <x v="0"/>
  </r>
  <r>
    <s v="N/A"/>
    <x v="0"/>
  </r>
  <r>
    <s v="N/A"/>
    <x v="0"/>
  </r>
  <r>
    <s v="N/A"/>
    <x v="0"/>
  </r>
  <r>
    <s v="N/A"/>
    <x v="0"/>
  </r>
  <r>
    <s v="N/A"/>
    <x v="0"/>
  </r>
  <r>
    <s v="N/A"/>
    <x v="0"/>
  </r>
  <r>
    <s v="N/A"/>
    <x v="0"/>
  </r>
  <r>
    <s v="N/A"/>
    <x v="0"/>
  </r>
  <r>
    <s v="N/A"/>
    <x v="0"/>
  </r>
  <r>
    <s v="N/A"/>
    <x v="0"/>
  </r>
  <r>
    <s v="N/A"/>
    <x v="0"/>
  </r>
  <r>
    <s v="N/A"/>
    <x v="0"/>
  </r>
  <r>
    <s v="N/A"/>
    <x v="0"/>
  </r>
  <r>
    <s v="N/A"/>
    <x v="0"/>
  </r>
  <r>
    <s v="N/A"/>
    <x v="0"/>
  </r>
  <r>
    <s v="N/A"/>
    <x v="0"/>
  </r>
  <r>
    <s v="N/A"/>
    <x v="0"/>
  </r>
  <r>
    <s v="P1"/>
    <x v="164"/>
  </r>
  <r>
    <s v="P1"/>
    <x v="165"/>
  </r>
  <r>
    <s v="P2"/>
    <x v="166"/>
  </r>
  <r>
    <s v="P2"/>
    <x v="167"/>
  </r>
  <r>
    <s v="N/A"/>
    <x v="0"/>
  </r>
  <r>
    <s v="P1"/>
    <x v="168"/>
  </r>
  <r>
    <s v="N/A"/>
    <x v="0"/>
  </r>
  <r>
    <s v="N/A"/>
    <x v="0"/>
  </r>
  <r>
    <s v="P2"/>
    <x v="169"/>
  </r>
  <r>
    <s v="N/A"/>
    <x v="0"/>
  </r>
  <r>
    <s v="P2"/>
    <x v="170"/>
  </r>
  <r>
    <s v="N/A"/>
    <x v="0"/>
  </r>
  <r>
    <s v="P2"/>
    <x v="171"/>
  </r>
  <r>
    <s v="N/A"/>
    <x v="0"/>
  </r>
  <r>
    <s v="N/A"/>
    <x v="0"/>
  </r>
  <r>
    <s v="P2"/>
    <x v="172"/>
  </r>
  <r>
    <s v="P2"/>
    <x v="173"/>
  </r>
  <r>
    <s v="P2"/>
    <x v="174"/>
  </r>
  <r>
    <s v="P2"/>
    <x v="175"/>
  </r>
  <r>
    <s v="N/A"/>
    <x v="0"/>
  </r>
  <r>
    <s v="N/A"/>
    <x v="0"/>
  </r>
  <r>
    <s v="P2"/>
    <x v="176"/>
  </r>
  <r>
    <s v="N/A"/>
    <x v="0"/>
  </r>
  <r>
    <s v="N/A"/>
    <x v="0"/>
  </r>
  <r>
    <s v="N/A"/>
    <x v="0"/>
  </r>
  <r>
    <s v="N/A"/>
    <x v="0"/>
  </r>
  <r>
    <s v="N/A"/>
    <x v="0"/>
  </r>
  <r>
    <s v="P1"/>
    <x v="177"/>
  </r>
  <r>
    <s v="N/A"/>
    <x v="0"/>
  </r>
  <r>
    <s v="N/A"/>
    <x v="0"/>
  </r>
  <r>
    <s v="P2"/>
    <x v="178"/>
  </r>
  <r>
    <s v="N/A"/>
    <x v="0"/>
  </r>
  <r>
    <s v="P2"/>
    <x v="179"/>
  </r>
  <r>
    <s v="N/A"/>
    <x v="0"/>
  </r>
  <r>
    <s v="N/A"/>
    <x v="0"/>
  </r>
  <r>
    <s v="P1"/>
    <x v="180"/>
  </r>
  <r>
    <s v="N/A"/>
    <x v="0"/>
  </r>
  <r>
    <s v="P1"/>
    <x v="181"/>
  </r>
  <r>
    <s v="P3"/>
    <x v="182"/>
  </r>
  <r>
    <s v="P1"/>
    <x v="183"/>
  </r>
  <r>
    <s v="N/A"/>
    <x v="0"/>
  </r>
  <r>
    <s v="P3"/>
    <x v="182"/>
  </r>
  <r>
    <s v="P2"/>
    <x v="184"/>
  </r>
  <r>
    <s v="P3"/>
    <x v="185"/>
  </r>
  <r>
    <s v="N/A"/>
    <x v="0"/>
  </r>
  <r>
    <s v="N/A"/>
    <x v="0"/>
  </r>
  <r>
    <s v="N/A"/>
    <x v="0"/>
  </r>
  <r>
    <s v="N/A"/>
    <x v="0"/>
  </r>
  <r>
    <s v="N/A"/>
    <x v="0"/>
  </r>
  <r>
    <s v="P1"/>
    <x v="186"/>
  </r>
  <r>
    <s v="N/A"/>
    <x v="0"/>
  </r>
  <r>
    <s v="P2"/>
    <x v="187"/>
  </r>
  <r>
    <s v="N/A"/>
    <x v="0"/>
  </r>
  <r>
    <s v="N/A"/>
    <x v="0"/>
  </r>
  <r>
    <s v="N/A"/>
    <x v="0"/>
  </r>
  <r>
    <s v="N/A"/>
    <x v="0"/>
  </r>
  <r>
    <s v="N/A"/>
    <x v="0"/>
  </r>
  <r>
    <s v="P2"/>
    <x v="188"/>
  </r>
  <r>
    <s v="N/A"/>
    <x v="0"/>
  </r>
  <r>
    <s v="N/A"/>
    <x v="0"/>
  </r>
  <r>
    <s v="P1"/>
    <x v="189"/>
  </r>
  <r>
    <s v="N/A"/>
    <x v="0"/>
  </r>
  <r>
    <s v="N/A"/>
    <x v="0"/>
  </r>
  <r>
    <s v="N/A"/>
    <x v="0"/>
  </r>
  <r>
    <s v="P1"/>
    <x v="190"/>
  </r>
  <r>
    <s v="P2"/>
    <x v="191"/>
  </r>
  <r>
    <s v="P1"/>
    <x v="190"/>
  </r>
  <r>
    <s v="N/A"/>
    <x v="0"/>
  </r>
  <r>
    <s v="N/A"/>
    <x v="0"/>
  </r>
  <r>
    <s v="N/A"/>
    <x v="0"/>
  </r>
  <r>
    <s v="N/A"/>
    <x v="0"/>
  </r>
  <r>
    <s v="N/A"/>
    <x v="0"/>
  </r>
  <r>
    <s v="N/A"/>
    <x v="0"/>
  </r>
  <r>
    <s v="P1"/>
    <x v="192"/>
  </r>
  <r>
    <s v="N/A"/>
    <x v="0"/>
  </r>
  <r>
    <s v="P1"/>
    <x v="193"/>
  </r>
  <r>
    <s v="N/A"/>
    <x v="0"/>
  </r>
  <r>
    <s v="P3"/>
    <x v="194"/>
  </r>
  <r>
    <s v="P2"/>
    <x v="195"/>
  </r>
  <r>
    <s v="P2"/>
    <x v="188"/>
  </r>
  <r>
    <s v="N/A"/>
    <x v="0"/>
  </r>
  <r>
    <m/>
    <x v="1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901D50-446A-456F-A5A0-CD2B48CBDB1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203" firstHeaderRow="1" firstDataRow="1" firstDataCol="1"/>
  <pivotFields count="2">
    <pivotField showAll="0"/>
    <pivotField axis="axisRow" dataField="1" showAll="0">
      <items count="198">
        <item x="154"/>
        <item x="155"/>
        <item x="156"/>
        <item x="157"/>
        <item x="161"/>
        <item x="162"/>
        <item x="158"/>
        <item x="163"/>
        <item x="160"/>
        <item x="159"/>
        <item x="164"/>
        <item x="168"/>
        <item x="165"/>
        <item x="166"/>
        <item x="167"/>
        <item x="172"/>
        <item x="173"/>
        <item x="174"/>
        <item x="176"/>
        <item x="170"/>
        <item x="171"/>
        <item x="169"/>
        <item x="175"/>
        <item x="31"/>
        <item x="34"/>
        <item x="32"/>
        <item x="33"/>
        <item x="35"/>
        <item x="36"/>
        <item x="39"/>
        <item x="40"/>
        <item x="38"/>
        <item x="37"/>
        <item x="90"/>
        <item x="91"/>
        <item x="93"/>
        <item x="92"/>
        <item x="95"/>
        <item x="94"/>
        <item x="96"/>
        <item x="97"/>
        <item x="98"/>
        <item x="99"/>
        <item x="101"/>
        <item x="100"/>
        <item x="1"/>
        <item x="2"/>
        <item x="4"/>
        <item x="3"/>
        <item x="7"/>
        <item x="8"/>
        <item x="25"/>
        <item x="13"/>
        <item x="21"/>
        <item x="19"/>
        <item x="16"/>
        <item x="14"/>
        <item x="15"/>
        <item x="23"/>
        <item x="17"/>
        <item x="22"/>
        <item x="18"/>
        <item x="20"/>
        <item x="9"/>
        <item x="11"/>
        <item x="12"/>
        <item x="5"/>
        <item x="26"/>
        <item x="10"/>
        <item x="24"/>
        <item x="30"/>
        <item x="6"/>
        <item x="27"/>
        <item x="28"/>
        <item x="29"/>
        <item x="102"/>
        <item x="105"/>
        <item x="103"/>
        <item x="106"/>
        <item x="104"/>
        <item x="108"/>
        <item x="109"/>
        <item x="110"/>
        <item x="111"/>
        <item x="112"/>
        <item x="113"/>
        <item x="114"/>
        <item x="115"/>
        <item x="107"/>
        <item x="59"/>
        <item x="58"/>
        <item x="63"/>
        <item x="60"/>
        <item x="61"/>
        <item x="62"/>
        <item x="65"/>
        <item x="64"/>
        <item x="70"/>
        <item x="66"/>
        <item x="69"/>
        <item x="68"/>
        <item x="67"/>
        <item x="41"/>
        <item x="42"/>
        <item x="43"/>
        <item x="51"/>
        <item x="52"/>
        <item x="53"/>
        <item x="55"/>
        <item x="56"/>
        <item x="57"/>
        <item x="45"/>
        <item x="48"/>
        <item x="46"/>
        <item x="47"/>
        <item x="49"/>
        <item x="50"/>
        <item x="54"/>
        <item x="82"/>
        <item x="81"/>
        <item x="85"/>
        <item x="86"/>
        <item x="87"/>
        <item x="88"/>
        <item x="83"/>
        <item x="84"/>
        <item x="89"/>
        <item x="177"/>
        <item x="178"/>
        <item x="180"/>
        <item x="181"/>
        <item x="182"/>
        <item x="183"/>
        <item x="184"/>
        <item x="179"/>
        <item x="185"/>
        <item x="116"/>
        <item x="118"/>
        <item x="119"/>
        <item x="121"/>
        <item x="122"/>
        <item x="125"/>
        <item x="123"/>
        <item x="134"/>
        <item x="128"/>
        <item x="117"/>
        <item x="129"/>
        <item x="130"/>
        <item x="131"/>
        <item x="132"/>
        <item x="120"/>
        <item x="133"/>
        <item x="124"/>
        <item x="126"/>
        <item x="127"/>
        <item x="135"/>
        <item x="0"/>
        <item x="186"/>
        <item x="187"/>
        <item x="189"/>
        <item x="190"/>
        <item x="192"/>
        <item x="191"/>
        <item x="193"/>
        <item x="194"/>
        <item x="188"/>
        <item x="195"/>
        <item x="71"/>
        <item x="72"/>
        <item x="73"/>
        <item x="77"/>
        <item x="74"/>
        <item x="75"/>
        <item x="76"/>
        <item x="78"/>
        <item x="80"/>
        <item x="79"/>
        <item x="136"/>
        <item x="141"/>
        <item x="142"/>
        <item x="143"/>
        <item x="144"/>
        <item x="148"/>
        <item x="149"/>
        <item x="150"/>
        <item x="151"/>
        <item x="137"/>
        <item x="138"/>
        <item x="146"/>
        <item x="152"/>
        <item x="153"/>
        <item x="145"/>
        <item x="147"/>
        <item x="139"/>
        <item x="140"/>
        <item x="196"/>
        <item x="44"/>
        <item t="default"/>
      </items>
    </pivotField>
  </pivotFields>
  <rowFields count="1">
    <field x="1"/>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t="grand">
      <x/>
    </i>
  </rowItems>
  <colItems count="1">
    <i/>
  </colItems>
  <dataFields count="1">
    <dataField name="Count of NDMO Specifications" fld="1" subtotal="count" baseField="0" baseItem="0"/>
  </dataFields>
  <formats count="46">
    <format dxfId="115">
      <pivotArea dataOnly="0" fieldPosition="0">
        <references count="1">
          <reference field="1" count="1">
            <x v="36"/>
          </reference>
        </references>
      </pivotArea>
    </format>
    <format dxfId="114">
      <pivotArea dataOnly="0" fieldPosition="0">
        <references count="1">
          <reference field="1" count="1">
            <x v="1"/>
          </reference>
        </references>
      </pivotArea>
    </format>
    <format dxfId="113">
      <pivotArea dataOnly="0" fieldPosition="0">
        <references count="1">
          <reference field="1" count="1">
            <x v="8"/>
          </reference>
        </references>
      </pivotArea>
    </format>
    <format dxfId="112">
      <pivotArea dataOnly="0" fieldPosition="0">
        <references count="1">
          <reference field="1" count="1">
            <x v="40"/>
          </reference>
        </references>
      </pivotArea>
    </format>
    <format dxfId="111">
      <pivotArea dataOnly="0" fieldPosition="0">
        <references count="1">
          <reference field="1" count="1">
            <x v="41"/>
          </reference>
        </references>
      </pivotArea>
    </format>
    <format dxfId="110">
      <pivotArea dataOnly="0" fieldPosition="0">
        <references count="1">
          <reference field="1" count="1">
            <x v="48"/>
          </reference>
        </references>
      </pivotArea>
    </format>
    <format dxfId="109">
      <pivotArea dataOnly="0" fieldPosition="0">
        <references count="1">
          <reference field="1" count="3">
            <x v="68"/>
            <x v="69"/>
            <x v="70"/>
          </reference>
        </references>
      </pivotArea>
    </format>
    <format dxfId="108">
      <pivotArea dataOnly="0" fieldPosition="0">
        <references count="1">
          <reference field="1" count="1">
            <x v="76"/>
          </reference>
        </references>
      </pivotArea>
    </format>
    <format dxfId="107">
      <pivotArea dataOnly="0" fieldPosition="0">
        <references count="1">
          <reference field="1" count="1">
            <x v="78"/>
          </reference>
        </references>
      </pivotArea>
    </format>
    <format dxfId="106">
      <pivotArea dataOnly="0" fieldPosition="0">
        <references count="1">
          <reference field="1" count="1">
            <x v="80"/>
          </reference>
        </references>
      </pivotArea>
    </format>
    <format dxfId="105">
      <pivotArea dataOnly="0" fieldPosition="0">
        <references count="1">
          <reference field="1" count="1">
            <x v="93"/>
          </reference>
        </references>
      </pivotArea>
    </format>
    <format dxfId="104">
      <pivotArea dataOnly="0" fieldPosition="0">
        <references count="1">
          <reference field="1" count="1">
            <x v="94"/>
          </reference>
        </references>
      </pivotArea>
    </format>
    <format dxfId="103">
      <pivotArea dataOnly="0" fieldPosition="0">
        <references count="1">
          <reference field="1" count="3">
            <x v="109"/>
            <x v="110"/>
            <x v="111"/>
          </reference>
        </references>
      </pivotArea>
    </format>
    <format dxfId="102">
      <pivotArea dataOnly="0" fieldPosition="0">
        <references count="1">
          <reference field="1" count="2">
            <x v="113"/>
            <x v="114"/>
          </reference>
        </references>
      </pivotArea>
    </format>
    <format dxfId="101">
      <pivotArea dataOnly="0" fieldPosition="0">
        <references count="1">
          <reference field="1" count="2">
            <x v="116"/>
            <x v="117"/>
          </reference>
        </references>
      </pivotArea>
    </format>
    <format dxfId="100">
      <pivotArea dataOnly="0" fieldPosition="0">
        <references count="1">
          <reference field="1" count="1">
            <x v="118"/>
          </reference>
        </references>
      </pivotArea>
    </format>
    <format dxfId="99">
      <pivotArea dataOnly="0" fieldPosition="0">
        <references count="1">
          <reference field="1" count="2">
            <x v="125"/>
            <x v="126"/>
          </reference>
        </references>
      </pivotArea>
    </format>
    <format dxfId="98">
      <pivotArea dataOnly="0" fieldPosition="0">
        <references count="1">
          <reference field="1" count="1">
            <x v="131"/>
          </reference>
        </references>
      </pivotArea>
    </format>
    <format dxfId="97">
      <pivotArea dataOnly="0" fieldPosition="0">
        <references count="1">
          <reference field="1" count="1">
            <x v="160"/>
          </reference>
        </references>
      </pivotArea>
    </format>
    <format dxfId="96">
      <pivotArea dataOnly="0" fieldPosition="0">
        <references count="1">
          <reference field="1" count="1">
            <x v="165"/>
          </reference>
        </references>
      </pivotArea>
    </format>
    <format dxfId="95">
      <pivotArea dataOnly="0" fieldPosition="0">
        <references count="1">
          <reference field="1" count="2">
            <x v="172"/>
            <x v="173"/>
          </reference>
        </references>
      </pivotArea>
    </format>
    <format dxfId="94">
      <pivotArea dataOnly="0" fieldPosition="0">
        <references count="1">
          <reference field="1" count="1">
            <x v="1"/>
          </reference>
        </references>
      </pivotArea>
    </format>
    <format dxfId="93">
      <pivotArea dataOnly="0" fieldPosition="0">
        <references count="1">
          <reference field="1" count="1">
            <x v="8"/>
          </reference>
        </references>
      </pivotArea>
    </format>
    <format dxfId="92">
      <pivotArea dataOnly="0" fieldPosition="0">
        <references count="1">
          <reference field="1" count="1">
            <x v="36"/>
          </reference>
        </references>
      </pivotArea>
    </format>
    <format dxfId="91">
      <pivotArea dataOnly="0" fieldPosition="0">
        <references count="1">
          <reference field="1" count="2">
            <x v="40"/>
            <x v="41"/>
          </reference>
        </references>
      </pivotArea>
    </format>
    <format dxfId="90">
      <pivotArea dataOnly="0" fieldPosition="0">
        <references count="1">
          <reference field="1" count="1">
            <x v="48"/>
          </reference>
        </references>
      </pivotArea>
    </format>
    <format dxfId="89">
      <pivotArea dataOnly="0" fieldPosition="0">
        <references count="1">
          <reference field="1" count="3">
            <x v="68"/>
            <x v="69"/>
            <x v="70"/>
          </reference>
        </references>
      </pivotArea>
    </format>
    <format dxfId="88">
      <pivotArea dataOnly="0" fieldPosition="0">
        <references count="1">
          <reference field="1" count="1">
            <x v="93"/>
          </reference>
        </references>
      </pivotArea>
    </format>
    <format dxfId="87">
      <pivotArea dataOnly="0" fieldPosition="0">
        <references count="1">
          <reference field="1" count="1">
            <x v="76"/>
          </reference>
        </references>
      </pivotArea>
    </format>
    <format dxfId="86">
      <pivotArea dataOnly="0" fieldPosition="0">
        <references count="1">
          <reference field="1" count="1">
            <x v="78"/>
          </reference>
        </references>
      </pivotArea>
    </format>
    <format dxfId="85">
      <pivotArea dataOnly="0" fieldPosition="0">
        <references count="1">
          <reference field="1" count="1">
            <x v="80"/>
          </reference>
        </references>
      </pivotArea>
    </format>
    <format dxfId="84">
      <pivotArea dataOnly="0" fieldPosition="0">
        <references count="1">
          <reference field="1" count="1">
            <x v="94"/>
          </reference>
        </references>
      </pivotArea>
    </format>
    <format dxfId="83">
      <pivotArea dataOnly="0" fieldPosition="0">
        <references count="1">
          <reference field="1" count="1">
            <x v="109"/>
          </reference>
        </references>
      </pivotArea>
    </format>
    <format dxfId="82">
      <pivotArea dataOnly="0" fieldPosition="0">
        <references count="1">
          <reference field="1" count="1">
            <x v="110"/>
          </reference>
        </references>
      </pivotArea>
    </format>
    <format dxfId="81">
      <pivotArea dataOnly="0" fieldPosition="0">
        <references count="1">
          <reference field="1" count="1">
            <x v="111"/>
          </reference>
        </references>
      </pivotArea>
    </format>
    <format dxfId="80">
      <pivotArea dataOnly="0" fieldPosition="0">
        <references count="1">
          <reference field="1" count="1">
            <x v="113"/>
          </reference>
        </references>
      </pivotArea>
    </format>
    <format dxfId="79">
      <pivotArea dataOnly="0" fieldPosition="0">
        <references count="1">
          <reference field="1" count="1">
            <x v="114"/>
          </reference>
        </references>
      </pivotArea>
    </format>
    <format dxfId="78">
      <pivotArea dataOnly="0" fieldPosition="0">
        <references count="1">
          <reference field="1" count="1">
            <x v="116"/>
          </reference>
        </references>
      </pivotArea>
    </format>
    <format dxfId="77">
      <pivotArea dataOnly="0" fieldPosition="0">
        <references count="1">
          <reference field="1" count="1">
            <x v="117"/>
          </reference>
        </references>
      </pivotArea>
    </format>
    <format dxfId="76">
      <pivotArea dataOnly="0" fieldPosition="0">
        <references count="1">
          <reference field="1" count="1">
            <x v="118"/>
          </reference>
        </references>
      </pivotArea>
    </format>
    <format dxfId="75">
      <pivotArea dataOnly="0" fieldPosition="0">
        <references count="1">
          <reference field="1" count="2">
            <x v="125"/>
            <x v="126"/>
          </reference>
        </references>
      </pivotArea>
    </format>
    <format dxfId="74">
      <pivotArea dataOnly="0" fieldPosition="0">
        <references count="1">
          <reference field="1" count="1">
            <x v="131"/>
          </reference>
        </references>
      </pivotArea>
    </format>
    <format dxfId="73">
      <pivotArea dataOnly="0" fieldPosition="0">
        <references count="1">
          <reference field="1" count="1">
            <x v="172"/>
          </reference>
        </references>
      </pivotArea>
    </format>
    <format dxfId="72">
      <pivotArea dataOnly="0" fieldPosition="0">
        <references count="1">
          <reference field="1" count="1">
            <x v="173"/>
          </reference>
        </references>
      </pivotArea>
    </format>
    <format dxfId="71">
      <pivotArea dataOnly="0" fieldPosition="0">
        <references count="1">
          <reference field="1" count="1">
            <x v="160"/>
          </reference>
        </references>
      </pivotArea>
    </format>
    <format dxfId="70">
      <pivotArea dataOnly="0" fieldPosition="0">
        <references count="1">
          <reference field="1" count="1">
            <x v="16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ain_ID1" xr10:uid="{F8A7451A-7E56-4FD8-AEB0-02B9711F4325}" sourceName="Domain ID">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ain_ID11" xr10:uid="{F672154D-65B4-45B7-AD48-CB4A1A4A7E7A}" sourceName="Domain ID">
  <extLst>
    <x:ext xmlns:x15="http://schemas.microsoft.com/office/spreadsheetml/2010/11/main" uri="{2F2917AC-EB37-4324-AD4E-5DD8C200BD13}">
      <x15:tableSlicerCache tableId="1" column="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main ID Filter 1" xr10:uid="{AFE15BDD-6AD4-410F-B820-8EAB0E302C7A}" cache="Slicer_Domain_ID11" caption="Domain ID" columnCount="1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main ID Filter" xr10:uid="{2E9F81A2-0831-48E3-8B1F-D13F9B6F20A4}" cache="Slicer_Domain_ID1" caption="Domain ID" columnCount="1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5EA78-AF2C-451A-B3F4-361B7616D08F}" name="Table132" displayName="Table132" ref="A4:Q482" totalsRowShown="0" headerRowDxfId="69" dataDxfId="68" headerRowBorderDxfId="66" tableBorderDxfId="67" totalsRowBorderDxfId="65">
  <autoFilter ref="A4:Q482" xr:uid="{31071DA8-D5ED-4D23-9595-12D48EE6EB7F}">
    <filterColumn colId="0">
      <customFilters>
        <customFilter operator="notEqual" val=" "/>
      </customFilters>
    </filterColumn>
  </autoFilter>
  <tableColumns count="17">
    <tableColumn id="1" xr3:uid="{F83C724B-9168-4BF0-A7ED-D9C5BD3A73A3}" name="Domain Name" dataDxfId="64"/>
    <tableColumn id="2" xr3:uid="{2E76E7C7-3AEF-4640-99E7-1031B99BF189}" name="Domain ID" dataDxfId="63"/>
    <tableColumn id="3" xr3:uid="{1661FB12-0F82-48E5-9691-0CCEA9FAD934}" name="NDI Q#" dataDxfId="62"/>
    <tableColumn id="4" xr3:uid="{4AFE2211-E453-450E-BB6F-62D7D40C9F1F}" name="Maturity Level" dataDxfId="61"/>
    <tableColumn id="5" xr3:uid="{839DCE12-CAC7-4B21-9A94-F916DC230F63}" name="Level No." dataDxfId="60"/>
    <tableColumn id="6" xr3:uid="{BA7B042D-F1A8-4367-8C92-31405BFF255D}" name="Evidence" dataDxfId="59"/>
    <tableColumn id="7" xr3:uid="{0E46F27F-9BDE-45F9-9692-5FF1065067C3}" name="Acceptance Criteria" dataDxfId="58"/>
    <tableColumn id="13" xr3:uid="{0B120D86-0336-4AC5-88EF-BEB149EF1C21}" name="Priority" dataDxfId="57"/>
    <tableColumn id="8" xr3:uid="{17295678-2BFE-4932-8AAE-8BD9866AB6C3}" name="NDMO Specifications" dataDxfId="56"/>
    <tableColumn id="15" xr3:uid="{5276618B-6B94-45CE-A034-4FDC1ABDA017}" name="NDI ID" dataDxfId="55"/>
    <tableColumn id="9" xr3:uid="{3A2C6B5B-6322-4C80-92E3-1C2FDCD122D5}" name="Meets NDMO criteria?" dataDxfId="54"/>
    <tableColumn id="10" xr3:uid="{958CD0A6-5F06-4AAD-B19A-8579D8AFBF6D}" name="Meets NDI Criteria?" dataDxfId="53"/>
    <tableColumn id="14" xr3:uid="{ADDEBE8A-62F4-42C5-96B9-AE49F3DBB7B5}" name="Compliance Validation Flag" dataDxfId="52"/>
    <tableColumn id="11" xr3:uid="{993C3F8E-BE17-4D54-9CC6-7B7EF2CA3412}" name="Comments" dataDxfId="51"/>
    <tableColumn id="16" xr3:uid="{F1181FBA-F2E4-409C-90FC-C4BB489E911E}" name="Evidence Document Name" dataDxfId="50"/>
    <tableColumn id="18" xr3:uid="{4DBC7D8D-822F-404C-B813-DBFF36F8903E}" name="Current Stakeholders" dataDxfId="49"/>
    <tableColumn id="17" xr3:uid="{4141FF97-7C38-4A08-842F-DD51F2B7CDFE}" name="Order" dataDxfId="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495C4B-06A1-4279-A3A9-9A94ADEE1E8F}" name="Table13" displayName="Table13" ref="A4:P482" totalsRowShown="0" headerRowDxfId="133" dataDxfId="131" headerRowBorderDxfId="132" tableBorderDxfId="130" totalsRowBorderDxfId="129">
  <autoFilter ref="A4:P482" xr:uid="{31071DA8-D5ED-4D23-9595-12D48EE6EB7F}">
    <filterColumn colId="1">
      <filters>
        <filter val="RMD"/>
      </filters>
    </filterColumn>
  </autoFilter>
  <tableColumns count="16">
    <tableColumn id="1" xr3:uid="{CB8CB835-A143-4E14-9BAB-4EBD9A9694C7}" name="Domain Name" dataDxfId="128"/>
    <tableColumn id="2" xr3:uid="{961D2E98-E829-462C-85C8-056FFD34AB83}" name="Domain ID" dataDxfId="127"/>
    <tableColumn id="3" xr3:uid="{00C78779-3865-41C8-8AE1-7FF497CAD437}" name="NDI Q#" dataDxfId="126"/>
    <tableColumn id="4" xr3:uid="{2D4277C3-D170-4B43-8034-603A019F3E2F}" name="Maturity Level" dataDxfId="125"/>
    <tableColumn id="5" xr3:uid="{1DAE26D4-DE9F-4039-AE66-6A7C74AEE283}" name="Level No." dataDxfId="124"/>
    <tableColumn id="6" xr3:uid="{88C769E0-1B3A-431F-B05C-6BEBB73FDD02}" name="Evidence" dataDxfId="123"/>
    <tableColumn id="7" xr3:uid="{64D06914-24CE-40D3-8A23-E498D58530C9}" name="Acceptance Criteria" dataDxfId="122"/>
    <tableColumn id="13" xr3:uid="{93F2A191-53B0-44DF-ABD1-14E5BDC88312}" name="Priority" dataDxfId="121"/>
    <tableColumn id="8" xr3:uid="{44567DC3-1858-4B55-9DAA-84FE2BE0DAB4}" name="NDMO Specifications" dataDxfId="120"/>
    <tableColumn id="15" xr3:uid="{E2FC25D3-C75E-4D22-B15F-7EF567F5C175}" name="NDI ID" dataDxfId="119"/>
    <tableColumn id="9" xr3:uid="{92CDD97D-F91B-4CC2-8CF0-D30F18FDBD94}" name="Meets NDMO criteria?" dataDxfId="118"/>
    <tableColumn id="10" xr3:uid="{1D9BA5C4-FBD6-40E3-84A1-D4FFC3A5CA6A}" name="Meets NDI Criteria?" dataDxfId="117"/>
    <tableColumn id="14" xr3:uid="{8D95BF7D-4D26-40F4-BD7C-16666D6BB168}" name="Compliance Validation Flag" dataDxfId="116"/>
    <tableColumn id="11" xr3:uid="{3AE8E9F7-4EF3-4888-8AB7-BEA8BB957D80}" name="Comments" dataDxfId="47"/>
    <tableColumn id="16" xr3:uid="{AE338276-ADE7-48B2-99F8-A7BE20B2EDF0}" name="Evidence Document Name" dataDxfId="46"/>
    <tableColumn id="18" xr3:uid="{7B0ED6AA-CCE4-4FC0-8DA7-A910D51CACF6}" name="Current Stakeholders" dataDxfId="4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AA6C-9AF9-4E2B-91F1-363E553F4AE0}">
  <sheetPr codeName="Sheet1"/>
  <dimension ref="A1:P28"/>
  <sheetViews>
    <sheetView showGridLines="0" zoomScale="70" zoomScaleNormal="70" workbookViewId="0">
      <selection activeCell="J24" sqref="J24"/>
    </sheetView>
  </sheetViews>
  <sheetFormatPr defaultColWidth="0" defaultRowHeight="14.4" zeroHeight="1"/>
  <cols>
    <col min="1" max="3" width="8.6640625" customWidth="1"/>
    <col min="4" max="4" width="4.33203125" customWidth="1"/>
    <col min="5" max="5" width="8.6640625" hidden="1" customWidth="1"/>
    <col min="6" max="9" width="8.6640625" customWidth="1"/>
    <col min="10" max="10" width="46.33203125" customWidth="1"/>
    <col min="11" max="16" width="8.6640625" customWidth="1"/>
    <col min="17" max="17" width="8.6640625" hidden="1" customWidth="1"/>
    <col min="18" max="16384" width="8.6640625" hidden="1"/>
  </cols>
  <sheetData>
    <row r="1" spans="3:14" s="195" customFormat="1"/>
    <row r="2" spans="3:14" s="195" customFormat="1"/>
    <row r="3" spans="3:14" s="195" customFormat="1"/>
    <row r="4" spans="3:14" s="195" customFormat="1"/>
    <row r="5" spans="3:14" s="195" customFormat="1"/>
    <row r="6" spans="3:14" s="195" customFormat="1"/>
    <row r="7" spans="3:14" s="195" customFormat="1"/>
    <row r="8" spans="3:14" s="195" customFormat="1"/>
    <row r="9" spans="3:14" s="195" customFormat="1"/>
    <row r="10" spans="3:14" s="195" customFormat="1"/>
    <row r="11" spans="3:14" s="195" customFormat="1"/>
    <row r="12" spans="3:14" s="195" customFormat="1"/>
    <row r="13" spans="3:14" s="195" customFormat="1"/>
    <row r="14" spans="3:14" s="195" customFormat="1"/>
    <row r="15" spans="3:14" s="195" customFormat="1"/>
    <row r="16" spans="3:14" s="195" customFormat="1" ht="30">
      <c r="C16" s="205" t="s">
        <v>2484</v>
      </c>
      <c r="D16" s="205"/>
      <c r="E16" s="205"/>
      <c r="F16" s="205"/>
      <c r="G16" s="205"/>
      <c r="H16" s="205"/>
      <c r="I16" s="205"/>
      <c r="J16" s="205"/>
      <c r="K16" s="205"/>
      <c r="L16" s="205"/>
      <c r="M16" s="205"/>
      <c r="N16" s="205"/>
    </row>
    <row r="17" spans="3:13" s="195" customFormat="1"/>
    <row r="18" spans="3:13" s="195" customFormat="1" ht="14.7" customHeight="1">
      <c r="C18" s="204" t="s">
        <v>2648</v>
      </c>
      <c r="D18" s="204"/>
      <c r="E18" s="204"/>
      <c r="F18" s="204"/>
      <c r="G18" s="204"/>
      <c r="H18" s="204"/>
      <c r="I18" s="204"/>
      <c r="J18" s="204"/>
      <c r="K18" s="204"/>
      <c r="L18" s="204"/>
      <c r="M18" s="204"/>
    </row>
    <row r="19" spans="3:13" s="195" customFormat="1">
      <c r="D19" s="196"/>
      <c r="E19" s="196"/>
      <c r="F19" s="196"/>
      <c r="G19" s="196"/>
      <c r="H19" s="196"/>
      <c r="I19" s="196"/>
      <c r="J19" s="196"/>
      <c r="K19" s="196"/>
      <c r="L19" s="196"/>
    </row>
    <row r="20" spans="3:13" s="195" customFormat="1">
      <c r="D20" s="197" t="s">
        <v>0</v>
      </c>
      <c r="E20" s="198" t="s">
        <v>2621</v>
      </c>
      <c r="K20" s="199" t="s">
        <v>1</v>
      </c>
      <c r="L20" s="200">
        <v>1</v>
      </c>
    </row>
    <row r="21" spans="3:13" s="195" customFormat="1"/>
    <row r="22" spans="3:13" s="195" customFormat="1"/>
    <row r="23" spans="3:13" s="195" customFormat="1"/>
    <row r="24" spans="3:13" s="195" customFormat="1"/>
    <row r="25" spans="3:13" s="195" customFormat="1"/>
    <row r="26" spans="3:13" s="195" customFormat="1"/>
    <row r="27" spans="3:13" s="195" customFormat="1"/>
    <row r="28" spans="3:13" s="195" customFormat="1"/>
  </sheetData>
  <sheetProtection formatCells="0" formatColumns="0" formatRows="0" insertColumns="0" insertRows="0" deleteColumns="0" deleteRows="0" sort="0"/>
  <mergeCells count="2">
    <mergeCell ref="C16:N16"/>
    <mergeCell ref="C18:M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E4AF-E627-4830-97CC-BCA426ED7C75}">
  <dimension ref="A1:T482"/>
  <sheetViews>
    <sheetView showGridLines="0" tabSelected="1" zoomScale="55" zoomScaleNormal="55" workbookViewId="0">
      <pane ySplit="4" topLeftCell="A73" activePane="bottomLeft" state="frozen"/>
      <selection activeCell="J119" sqref="J119"/>
      <selection pane="bottomLeft" activeCell="I186" sqref="I186"/>
    </sheetView>
  </sheetViews>
  <sheetFormatPr defaultColWidth="0" defaultRowHeight="14.4"/>
  <cols>
    <col min="1" max="1" width="24.33203125" customWidth="1"/>
    <col min="2" max="2" width="11.44140625" customWidth="1"/>
    <col min="3" max="3" width="11.6640625" style="43" customWidth="1"/>
    <col min="4" max="4" width="17.5546875" customWidth="1"/>
    <col min="5" max="5" width="12.5546875" customWidth="1"/>
    <col min="6" max="6" width="37.5546875" style="138" customWidth="1"/>
    <col min="7" max="7" width="77.33203125" customWidth="1"/>
    <col min="8" max="8" width="17.33203125" bestFit="1" customWidth="1"/>
    <col min="9" max="10" width="24.6640625" customWidth="1"/>
    <col min="11" max="11" width="19.77734375" customWidth="1"/>
    <col min="12" max="12" width="18.44140625" customWidth="1"/>
    <col min="13" max="13" width="29.44140625" hidden="1" customWidth="1"/>
    <col min="14" max="15" width="32" customWidth="1"/>
    <col min="16" max="16" width="26.6640625" style="138" customWidth="1"/>
    <col min="17" max="17" width="26.6640625" style="138" hidden="1" customWidth="1"/>
    <col min="18" max="18" width="8.6640625" customWidth="1"/>
    <col min="21" max="16384" width="8.6640625" hidden="1"/>
  </cols>
  <sheetData>
    <row r="1" spans="1:18" ht="33.6" customHeight="1"/>
    <row r="2" spans="1:18" ht="33.6" customHeight="1"/>
    <row r="3" spans="1:18" ht="33.6" customHeight="1"/>
    <row r="4" spans="1:18" ht="26.4">
      <c r="A4" s="18" t="s">
        <v>2</v>
      </c>
      <c r="B4" s="19" t="s">
        <v>3</v>
      </c>
      <c r="C4" s="19" t="s">
        <v>4</v>
      </c>
      <c r="D4" s="19" t="s">
        <v>5</v>
      </c>
      <c r="E4" s="19" t="s">
        <v>6</v>
      </c>
      <c r="F4" s="19" t="s">
        <v>7</v>
      </c>
      <c r="G4" s="19" t="s">
        <v>8</v>
      </c>
      <c r="H4" s="19" t="s">
        <v>9</v>
      </c>
      <c r="I4" s="19" t="s">
        <v>10</v>
      </c>
      <c r="J4" s="19" t="s">
        <v>11</v>
      </c>
      <c r="K4" s="20" t="s">
        <v>2479</v>
      </c>
      <c r="L4" s="20" t="s">
        <v>12</v>
      </c>
      <c r="M4" s="55" t="s">
        <v>13</v>
      </c>
      <c r="N4" s="19" t="s">
        <v>14</v>
      </c>
      <c r="O4" s="21" t="s">
        <v>2486</v>
      </c>
      <c r="P4" s="21" t="s">
        <v>2570</v>
      </c>
      <c r="Q4" s="19" t="s">
        <v>2569</v>
      </c>
    </row>
    <row r="5" spans="1:18" hidden="1">
      <c r="A5" s="266"/>
      <c r="B5" s="266"/>
      <c r="C5" s="266"/>
      <c r="D5" s="267"/>
      <c r="E5" s="266"/>
      <c r="F5" s="268"/>
      <c r="G5" s="268"/>
      <c r="H5" s="269"/>
      <c r="I5" s="269"/>
      <c r="J5" s="269"/>
      <c r="K5" s="269"/>
      <c r="L5" s="270"/>
      <c r="M5" s="5"/>
      <c r="N5" s="273"/>
      <c r="O5" s="272"/>
      <c r="P5" s="274"/>
      <c r="Q5" s="275"/>
    </row>
    <row r="6" spans="1:18" hidden="1">
      <c r="A6" s="266"/>
      <c r="B6" s="266"/>
      <c r="C6" s="266"/>
      <c r="D6" s="267"/>
      <c r="E6" s="266"/>
      <c r="F6" s="268"/>
      <c r="G6" s="268"/>
      <c r="H6" s="269"/>
      <c r="I6" s="269"/>
      <c r="J6" s="269"/>
      <c r="K6" s="270"/>
      <c r="L6" s="270"/>
      <c r="M6" s="5"/>
      <c r="N6" s="272"/>
      <c r="O6" s="272"/>
      <c r="P6" s="274"/>
      <c r="Q6" s="275"/>
      <c r="R6" s="276"/>
    </row>
    <row r="7" spans="1:18" hidden="1">
      <c r="A7" s="266"/>
      <c r="B7" s="266"/>
      <c r="C7" s="266"/>
      <c r="D7" s="267"/>
      <c r="E7" s="266"/>
      <c r="F7" s="268"/>
      <c r="G7" s="268"/>
      <c r="H7" s="269"/>
      <c r="I7" s="269"/>
      <c r="J7" s="269"/>
      <c r="K7" s="270"/>
      <c r="L7" s="270"/>
      <c r="M7" s="5"/>
      <c r="N7" s="273"/>
      <c r="O7" s="272"/>
      <c r="P7" s="274"/>
      <c r="Q7" s="275"/>
      <c r="R7" s="276"/>
    </row>
    <row r="8" spans="1:18" hidden="1">
      <c r="A8" s="266"/>
      <c r="B8" s="266"/>
      <c r="C8" s="266"/>
      <c r="D8" s="267"/>
      <c r="E8" s="266"/>
      <c r="F8" s="268"/>
      <c r="G8" s="268"/>
      <c r="H8" s="269"/>
      <c r="I8" s="269"/>
      <c r="J8" s="269"/>
      <c r="K8" s="270"/>
      <c r="L8" s="270"/>
      <c r="M8" s="5">
        <v>1</v>
      </c>
      <c r="N8" s="272"/>
      <c r="O8" s="272"/>
      <c r="P8" s="274"/>
      <c r="Q8" s="275"/>
      <c r="R8" s="276"/>
    </row>
    <row r="9" spans="1:18" hidden="1">
      <c r="A9" s="266"/>
      <c r="B9" s="266"/>
      <c r="C9" s="266"/>
      <c r="D9" s="267"/>
      <c r="E9" s="266"/>
      <c r="F9" s="271"/>
      <c r="G9" s="268"/>
      <c r="H9" s="269"/>
      <c r="I9" s="269"/>
      <c r="J9" s="269"/>
      <c r="K9" s="270"/>
      <c r="L9" s="270"/>
      <c r="M9" s="5"/>
      <c r="N9" s="272"/>
      <c r="O9" s="272"/>
      <c r="P9" s="274"/>
      <c r="Q9" s="275"/>
      <c r="R9" s="276"/>
    </row>
    <row r="10" spans="1:18" hidden="1">
      <c r="A10" s="266"/>
      <c r="B10" s="266"/>
      <c r="C10" s="266"/>
      <c r="D10" s="267"/>
      <c r="E10" s="266"/>
      <c r="F10" s="268"/>
      <c r="G10" s="268"/>
      <c r="H10" s="269"/>
      <c r="I10" s="269"/>
      <c r="J10" s="269"/>
      <c r="K10" s="269"/>
      <c r="L10" s="270"/>
      <c r="M10" s="5"/>
      <c r="N10" s="277"/>
      <c r="O10" s="277"/>
      <c r="P10" s="274"/>
      <c r="Q10" s="275"/>
    </row>
    <row r="11" spans="1:18" hidden="1">
      <c r="A11" s="266"/>
      <c r="B11" s="266"/>
      <c r="C11" s="266"/>
      <c r="D11" s="267"/>
      <c r="E11" s="266"/>
      <c r="F11" s="268"/>
      <c r="G11" s="268"/>
      <c r="H11" s="269"/>
      <c r="I11" s="269"/>
      <c r="J11" s="269"/>
      <c r="K11" s="269"/>
      <c r="L11" s="270"/>
      <c r="M11" s="5"/>
      <c r="N11" s="277"/>
      <c r="O11" s="277"/>
      <c r="P11" s="274"/>
      <c r="Q11" s="275"/>
    </row>
    <row r="12" spans="1:18" hidden="1">
      <c r="A12" s="266"/>
      <c r="B12" s="266"/>
      <c r="C12" s="266"/>
      <c r="D12" s="267"/>
      <c r="E12" s="266"/>
      <c r="F12" s="272"/>
      <c r="G12" s="268"/>
      <c r="H12" s="269"/>
      <c r="I12" s="269"/>
      <c r="J12" s="269"/>
      <c r="K12" s="270"/>
      <c r="L12" s="270"/>
      <c r="M12" s="5"/>
      <c r="N12" s="272"/>
      <c r="O12" s="272"/>
      <c r="P12" s="274"/>
      <c r="Q12" s="275"/>
    </row>
    <row r="13" spans="1:18" ht="138" hidden="1" customHeight="1">
      <c r="A13" s="266"/>
      <c r="B13" s="266"/>
      <c r="C13" s="266"/>
      <c r="D13" s="267"/>
      <c r="E13" s="266"/>
      <c r="F13" s="272"/>
      <c r="G13" s="268"/>
      <c r="H13" s="269"/>
      <c r="I13" s="269"/>
      <c r="J13" s="269"/>
      <c r="K13" s="270"/>
      <c r="L13" s="270"/>
      <c r="M13" s="5"/>
      <c r="N13" s="272"/>
      <c r="O13" s="272"/>
      <c r="P13" s="274"/>
      <c r="Q13" s="275"/>
    </row>
    <row r="14" spans="1:18" hidden="1">
      <c r="A14" s="266"/>
      <c r="B14" s="266"/>
      <c r="C14" s="266"/>
      <c r="D14" s="267"/>
      <c r="E14" s="266"/>
      <c r="F14" s="268"/>
      <c r="G14" s="268"/>
      <c r="H14" s="269"/>
      <c r="I14" s="269"/>
      <c r="J14" s="269"/>
      <c r="K14" s="270"/>
      <c r="L14" s="270"/>
      <c r="M14" s="5"/>
      <c r="N14" s="277"/>
      <c r="O14" s="277"/>
      <c r="P14" s="274"/>
      <c r="Q14" s="275"/>
      <c r="R14" s="276"/>
    </row>
    <row r="15" spans="1:18" hidden="1">
      <c r="A15" s="266"/>
      <c r="B15" s="266"/>
      <c r="C15" s="266"/>
      <c r="D15" s="267"/>
      <c r="E15" s="266"/>
      <c r="F15" s="268"/>
      <c r="G15" s="268"/>
      <c r="H15" s="269"/>
      <c r="I15" s="269"/>
      <c r="J15" s="269"/>
      <c r="K15" s="270"/>
      <c r="L15" s="270"/>
      <c r="M15" s="5"/>
      <c r="N15" s="277"/>
      <c r="O15" s="277"/>
      <c r="P15" s="274"/>
      <c r="Q15" s="275"/>
      <c r="R15" s="276"/>
    </row>
    <row r="16" spans="1:18" hidden="1">
      <c r="A16" s="266"/>
      <c r="B16" s="266"/>
      <c r="C16" s="266"/>
      <c r="D16" s="267"/>
      <c r="E16" s="266"/>
      <c r="F16" s="268"/>
      <c r="G16" s="268"/>
      <c r="H16" s="269"/>
      <c r="I16" s="269"/>
      <c r="J16" s="269"/>
      <c r="K16" s="269"/>
      <c r="L16" s="270"/>
      <c r="M16" s="5"/>
      <c r="N16" s="277"/>
      <c r="O16" s="277"/>
      <c r="P16" s="274"/>
      <c r="Q16" s="275"/>
    </row>
    <row r="17" spans="1:18" hidden="1">
      <c r="A17" s="266"/>
      <c r="B17" s="266"/>
      <c r="C17" s="266"/>
      <c r="D17" s="267"/>
      <c r="E17" s="266"/>
      <c r="F17" s="268"/>
      <c r="G17" s="268"/>
      <c r="H17" s="269"/>
      <c r="I17" s="269"/>
      <c r="J17" s="269"/>
      <c r="K17" s="269"/>
      <c r="L17" s="270"/>
      <c r="M17" s="5"/>
      <c r="N17" s="277"/>
      <c r="O17" s="277"/>
      <c r="P17" s="274"/>
      <c r="Q17" s="275"/>
    </row>
    <row r="18" spans="1:18" ht="140.55000000000001" hidden="1" customHeight="1">
      <c r="A18" s="266"/>
      <c r="B18" s="266"/>
      <c r="C18" s="266"/>
      <c r="D18" s="267"/>
      <c r="E18" s="266"/>
      <c r="F18" s="268"/>
      <c r="G18" s="268"/>
      <c r="H18" s="269"/>
      <c r="I18" s="269"/>
      <c r="J18" s="269"/>
      <c r="K18" s="270"/>
      <c r="L18" s="270"/>
      <c r="M18" s="5"/>
      <c r="N18" s="277"/>
      <c r="O18" s="277"/>
      <c r="P18" s="274"/>
      <c r="Q18" s="275"/>
    </row>
    <row r="19" spans="1:18" hidden="1">
      <c r="A19" s="266"/>
      <c r="B19" s="266"/>
      <c r="C19" s="266"/>
      <c r="D19" s="267"/>
      <c r="E19" s="266"/>
      <c r="F19" s="268"/>
      <c r="G19" s="268"/>
      <c r="H19" s="269"/>
      <c r="I19" s="269"/>
      <c r="J19" s="269"/>
      <c r="K19" s="270"/>
      <c r="L19" s="270"/>
      <c r="M19" s="5">
        <v>1</v>
      </c>
      <c r="N19" s="277"/>
      <c r="O19" s="277"/>
      <c r="P19" s="274"/>
      <c r="Q19" s="275"/>
    </row>
    <row r="20" spans="1:18" hidden="1">
      <c r="A20" s="266"/>
      <c r="B20" s="266"/>
      <c r="C20" s="266"/>
      <c r="D20" s="267"/>
      <c r="E20" s="266"/>
      <c r="F20" s="268"/>
      <c r="G20" s="268"/>
      <c r="H20" s="269"/>
      <c r="I20" s="278"/>
      <c r="J20" s="278"/>
      <c r="K20" s="270"/>
      <c r="L20" s="270"/>
      <c r="M20" s="5"/>
      <c r="N20" s="272"/>
      <c r="O20" s="272"/>
      <c r="P20" s="274"/>
      <c r="Q20" s="275"/>
    </row>
    <row r="21" spans="1:18" hidden="1">
      <c r="A21" s="266"/>
      <c r="B21" s="266"/>
      <c r="C21" s="266"/>
      <c r="D21" s="267"/>
      <c r="E21" s="266"/>
      <c r="F21" s="268"/>
      <c r="G21" s="268"/>
      <c r="H21" s="269"/>
      <c r="I21" s="278"/>
      <c r="J21" s="278"/>
      <c r="K21" s="270"/>
      <c r="L21" s="270"/>
      <c r="M21" s="5"/>
      <c r="N21" s="277"/>
      <c r="O21" s="277"/>
      <c r="P21" s="274"/>
      <c r="Q21" s="275"/>
    </row>
    <row r="22" spans="1:18" hidden="1">
      <c r="A22" s="266"/>
      <c r="B22" s="266"/>
      <c r="C22" s="266"/>
      <c r="D22" s="267"/>
      <c r="E22" s="266"/>
      <c r="F22" s="268"/>
      <c r="G22" s="268"/>
      <c r="H22" s="269"/>
      <c r="I22" s="269"/>
      <c r="J22" s="269"/>
      <c r="K22" s="269"/>
      <c r="L22" s="270"/>
      <c r="M22" s="5"/>
      <c r="N22" s="277"/>
      <c r="O22" s="277"/>
      <c r="P22" s="274"/>
      <c r="Q22" s="275"/>
    </row>
    <row r="23" spans="1:18" hidden="1">
      <c r="A23" s="266"/>
      <c r="B23" s="266"/>
      <c r="C23" s="266"/>
      <c r="D23" s="267"/>
      <c r="E23" s="266"/>
      <c r="F23" s="268"/>
      <c r="G23" s="268"/>
      <c r="H23" s="269"/>
      <c r="I23" s="278"/>
      <c r="J23" s="278"/>
      <c r="K23" s="270"/>
      <c r="L23" s="270"/>
      <c r="M23" s="5"/>
      <c r="N23" s="279"/>
      <c r="O23" s="280"/>
      <c r="P23" s="274"/>
      <c r="Q23" s="275"/>
      <c r="R23" s="276"/>
    </row>
    <row r="24" spans="1:18" hidden="1">
      <c r="A24" s="266"/>
      <c r="B24" s="266"/>
      <c r="C24" s="266"/>
      <c r="D24" s="267"/>
      <c r="E24" s="266"/>
      <c r="F24" s="268"/>
      <c r="G24" s="268"/>
      <c r="H24" s="269"/>
      <c r="I24" s="278"/>
      <c r="J24" s="278"/>
      <c r="K24" s="270"/>
      <c r="L24" s="270"/>
      <c r="M24" s="5"/>
      <c r="N24" s="277"/>
      <c r="O24" s="277"/>
      <c r="P24" s="274"/>
      <c r="Q24" s="275"/>
      <c r="R24" s="276"/>
    </row>
    <row r="25" spans="1:18" hidden="1">
      <c r="A25" s="266"/>
      <c r="B25" s="266"/>
      <c r="C25" s="266"/>
      <c r="D25" s="267"/>
      <c r="E25" s="266"/>
      <c r="F25" s="268"/>
      <c r="G25" s="268"/>
      <c r="H25" s="269"/>
      <c r="I25" s="278"/>
      <c r="J25" s="278"/>
      <c r="K25" s="270"/>
      <c r="L25" s="270"/>
      <c r="M25" s="5"/>
      <c r="N25" s="279"/>
      <c r="O25" s="279"/>
      <c r="P25" s="274"/>
      <c r="Q25" s="275"/>
      <c r="R25" s="276"/>
    </row>
    <row r="26" spans="1:18" hidden="1">
      <c r="A26" s="266"/>
      <c r="B26" s="266"/>
      <c r="C26" s="266"/>
      <c r="D26" s="267"/>
      <c r="E26" s="266"/>
      <c r="F26" s="268"/>
      <c r="G26" s="268"/>
      <c r="H26" s="269"/>
      <c r="I26" s="278"/>
      <c r="J26" s="278"/>
      <c r="K26" s="270"/>
      <c r="L26" s="270"/>
      <c r="M26" s="5"/>
      <c r="N26" s="277"/>
      <c r="O26" s="277"/>
      <c r="P26" s="274"/>
      <c r="Q26" s="275"/>
      <c r="R26" s="276"/>
    </row>
    <row r="27" spans="1:18" hidden="1">
      <c r="A27" s="266"/>
      <c r="B27" s="266"/>
      <c r="C27" s="266"/>
      <c r="D27" s="267"/>
      <c r="E27" s="266"/>
      <c r="F27" s="268"/>
      <c r="G27" s="268"/>
      <c r="H27" s="269"/>
      <c r="I27" s="278"/>
      <c r="J27" s="278"/>
      <c r="K27" s="270"/>
      <c r="L27" s="270"/>
      <c r="M27" s="5"/>
      <c r="N27" s="277"/>
      <c r="O27" s="277"/>
      <c r="P27" s="274"/>
      <c r="Q27" s="275"/>
      <c r="R27" s="276"/>
    </row>
    <row r="28" spans="1:18" hidden="1">
      <c r="A28" s="266"/>
      <c r="B28" s="266"/>
      <c r="C28" s="266"/>
      <c r="D28" s="267"/>
      <c r="E28" s="266"/>
      <c r="F28" s="268"/>
      <c r="G28" s="268"/>
      <c r="H28" s="269"/>
      <c r="I28" s="278"/>
      <c r="J28" s="278"/>
      <c r="K28" s="270"/>
      <c r="L28" s="270"/>
      <c r="M28" s="5"/>
      <c r="N28" s="277"/>
      <c r="O28" s="277"/>
      <c r="P28" s="274"/>
      <c r="Q28" s="275"/>
      <c r="R28" s="276"/>
    </row>
    <row r="29" spans="1:18" hidden="1">
      <c r="A29" s="266"/>
      <c r="B29" s="266"/>
      <c r="C29" s="266"/>
      <c r="D29" s="267"/>
      <c r="E29" s="266"/>
      <c r="F29" s="268"/>
      <c r="G29" s="268"/>
      <c r="H29" s="269"/>
      <c r="I29" s="278"/>
      <c r="J29" s="278"/>
      <c r="K29" s="270"/>
      <c r="L29" s="270"/>
      <c r="M29" s="5"/>
      <c r="N29" s="277"/>
      <c r="O29" s="277"/>
      <c r="P29" s="274"/>
      <c r="Q29" s="275"/>
      <c r="R29" s="276"/>
    </row>
    <row r="30" spans="1:18" hidden="1">
      <c r="A30" s="266"/>
      <c r="B30" s="266"/>
      <c r="C30" s="266"/>
      <c r="D30" s="267"/>
      <c r="E30" s="266"/>
      <c r="F30" s="268"/>
      <c r="G30" s="268"/>
      <c r="H30" s="269"/>
      <c r="I30" s="278"/>
      <c r="J30" s="278"/>
      <c r="K30" s="270"/>
      <c r="L30" s="270"/>
      <c r="M30" s="5"/>
      <c r="N30" s="277"/>
      <c r="O30" s="277"/>
      <c r="P30" s="274"/>
      <c r="Q30" s="275"/>
      <c r="R30" s="276"/>
    </row>
    <row r="31" spans="1:18" hidden="1">
      <c r="A31" s="266"/>
      <c r="B31" s="266"/>
      <c r="C31" s="266"/>
      <c r="D31" s="267"/>
      <c r="E31" s="266"/>
      <c r="F31" s="268"/>
      <c r="G31" s="268"/>
      <c r="H31" s="269"/>
      <c r="I31" s="278"/>
      <c r="J31" s="278"/>
      <c r="K31" s="270"/>
      <c r="L31" s="270"/>
      <c r="M31" s="5"/>
      <c r="N31" s="279"/>
      <c r="O31" s="277"/>
      <c r="P31" s="274"/>
      <c r="Q31" s="275"/>
      <c r="R31" s="276"/>
    </row>
    <row r="32" spans="1:18" hidden="1">
      <c r="A32" s="266"/>
      <c r="B32" s="266"/>
      <c r="C32" s="266"/>
      <c r="D32" s="267"/>
      <c r="E32" s="266"/>
      <c r="F32" s="268"/>
      <c r="G32" s="268"/>
      <c r="H32" s="269"/>
      <c r="I32" s="278"/>
      <c r="J32" s="278"/>
      <c r="K32" s="270"/>
      <c r="L32" s="270"/>
      <c r="M32" s="5"/>
      <c r="N32" s="277"/>
      <c r="O32" s="277"/>
      <c r="P32" s="274"/>
      <c r="Q32" s="275"/>
      <c r="R32" s="276"/>
    </row>
    <row r="33" spans="1:18" hidden="1">
      <c r="A33" s="266"/>
      <c r="B33" s="266"/>
      <c r="C33" s="266"/>
      <c r="D33" s="267"/>
      <c r="E33" s="266"/>
      <c r="F33" s="272"/>
      <c r="G33" s="268"/>
      <c r="H33" s="269"/>
      <c r="I33" s="278"/>
      <c r="J33" s="278"/>
      <c r="K33" s="270"/>
      <c r="L33" s="270"/>
      <c r="M33" s="5"/>
      <c r="N33" s="277"/>
      <c r="O33" s="277"/>
      <c r="P33" s="274"/>
      <c r="Q33" s="275"/>
      <c r="R33" s="276"/>
    </row>
    <row r="34" spans="1:18" hidden="1">
      <c r="A34" s="266"/>
      <c r="B34" s="266"/>
      <c r="C34" s="266"/>
      <c r="D34" s="267"/>
      <c r="E34" s="266"/>
      <c r="F34" s="268"/>
      <c r="G34" s="268"/>
      <c r="H34" s="269"/>
      <c r="I34" s="269"/>
      <c r="J34" s="269"/>
      <c r="K34" s="269"/>
      <c r="L34" s="270"/>
      <c r="M34" s="5"/>
      <c r="N34" s="272"/>
      <c r="O34" s="272"/>
      <c r="P34" s="274"/>
      <c r="Q34" s="275"/>
    </row>
    <row r="35" spans="1:18" hidden="1">
      <c r="A35" s="266"/>
      <c r="B35" s="266"/>
      <c r="C35" s="266"/>
      <c r="D35" s="267"/>
      <c r="E35" s="266"/>
      <c r="F35" s="268"/>
      <c r="G35" s="268"/>
      <c r="H35" s="269"/>
      <c r="I35" s="269"/>
      <c r="J35" s="269"/>
      <c r="K35" s="269"/>
      <c r="L35" s="270"/>
      <c r="M35" s="5"/>
      <c r="N35" s="277"/>
      <c r="O35" s="277"/>
      <c r="P35" s="274"/>
      <c r="Q35" s="275"/>
    </row>
    <row r="36" spans="1:18" hidden="1">
      <c r="A36" s="266"/>
      <c r="B36" s="266"/>
      <c r="C36" s="266"/>
      <c r="D36" s="267"/>
      <c r="E36" s="266"/>
      <c r="F36" s="268"/>
      <c r="G36" s="268"/>
      <c r="H36" s="269"/>
      <c r="I36" s="278"/>
      <c r="J36" s="278"/>
      <c r="K36" s="270"/>
      <c r="L36" s="270"/>
      <c r="M36" s="5">
        <v>1</v>
      </c>
      <c r="N36" s="277"/>
      <c r="O36" s="277"/>
      <c r="P36" s="274"/>
      <c r="Q36" s="275"/>
    </row>
    <row r="37" spans="1:18" hidden="1">
      <c r="A37" s="266"/>
      <c r="B37" s="266"/>
      <c r="C37" s="266"/>
      <c r="D37" s="267"/>
      <c r="E37" s="266"/>
      <c r="F37" s="268"/>
      <c r="G37" s="268"/>
      <c r="H37" s="269"/>
      <c r="I37" s="278"/>
      <c r="J37" s="278"/>
      <c r="K37" s="269"/>
      <c r="L37" s="270"/>
      <c r="M37" s="5"/>
      <c r="N37" s="277"/>
      <c r="O37" s="277"/>
      <c r="P37" s="274"/>
      <c r="Q37" s="275"/>
    </row>
    <row r="38" spans="1:18" hidden="1">
      <c r="A38" s="266"/>
      <c r="B38" s="266"/>
      <c r="C38" s="266"/>
      <c r="D38" s="267"/>
      <c r="E38" s="266"/>
      <c r="F38" s="268"/>
      <c r="G38" s="268"/>
      <c r="H38" s="269"/>
      <c r="I38" s="269"/>
      <c r="J38" s="269"/>
      <c r="K38" s="269"/>
      <c r="L38" s="270"/>
      <c r="M38" s="5"/>
      <c r="N38" s="277"/>
      <c r="O38" s="277"/>
      <c r="P38" s="274"/>
      <c r="Q38" s="275"/>
    </row>
    <row r="39" spans="1:18" hidden="1">
      <c r="A39" s="266"/>
      <c r="B39" s="266"/>
      <c r="C39" s="266"/>
      <c r="D39" s="267"/>
      <c r="E39" s="266"/>
      <c r="F39" s="268"/>
      <c r="G39" s="268"/>
      <c r="H39" s="269"/>
      <c r="I39" s="269"/>
      <c r="J39" s="269"/>
      <c r="K39" s="269"/>
      <c r="L39" s="270"/>
      <c r="M39" s="5"/>
      <c r="N39" s="279"/>
      <c r="O39" s="277"/>
      <c r="P39" s="274"/>
      <c r="Q39" s="275"/>
    </row>
    <row r="40" spans="1:18" ht="120.45" hidden="1" customHeight="1">
      <c r="A40" s="266"/>
      <c r="B40" s="266"/>
      <c r="C40" s="266"/>
      <c r="D40" s="267"/>
      <c r="E40" s="266"/>
      <c r="F40" s="268"/>
      <c r="G40" s="268"/>
      <c r="H40" s="269"/>
      <c r="I40" s="269"/>
      <c r="J40" s="269"/>
      <c r="K40" s="269"/>
      <c r="L40" s="270"/>
      <c r="M40" s="5"/>
      <c r="N40" s="279"/>
      <c r="O40" s="279"/>
      <c r="P40" s="274"/>
      <c r="Q40" s="275"/>
    </row>
    <row r="41" spans="1:18" hidden="1">
      <c r="A41" s="266"/>
      <c r="B41" s="266"/>
      <c r="C41" s="266"/>
      <c r="D41" s="267"/>
      <c r="E41" s="266"/>
      <c r="F41" s="268"/>
      <c r="G41" s="268"/>
      <c r="H41" s="269"/>
      <c r="I41" s="278"/>
      <c r="J41" s="278"/>
      <c r="K41" s="270"/>
      <c r="L41" s="270"/>
      <c r="M41" s="5"/>
      <c r="N41" s="277"/>
      <c r="O41" s="277"/>
      <c r="P41" s="274"/>
      <c r="Q41" s="275"/>
      <c r="R41" s="276"/>
    </row>
    <row r="42" spans="1:18" ht="162" hidden="1" customHeight="1">
      <c r="A42" s="266"/>
      <c r="B42" s="266"/>
      <c r="C42" s="266"/>
      <c r="D42" s="267"/>
      <c r="E42" s="266"/>
      <c r="F42" s="268"/>
      <c r="G42" s="268"/>
      <c r="H42" s="269"/>
      <c r="I42" s="278"/>
      <c r="J42" s="278"/>
      <c r="K42" s="270"/>
      <c r="L42" s="270"/>
      <c r="M42" s="5"/>
      <c r="N42" s="277"/>
      <c r="O42" s="277"/>
      <c r="P42" s="274"/>
      <c r="Q42" s="275"/>
    </row>
    <row r="43" spans="1:18" hidden="1">
      <c r="A43" s="266"/>
      <c r="B43" s="266"/>
      <c r="C43" s="266"/>
      <c r="D43" s="267"/>
      <c r="E43" s="266"/>
      <c r="F43" s="268"/>
      <c r="G43" s="268"/>
      <c r="H43" s="269"/>
      <c r="I43" s="278"/>
      <c r="J43" s="278"/>
      <c r="K43" s="270"/>
      <c r="L43" s="270"/>
      <c r="M43" s="5">
        <v>1</v>
      </c>
      <c r="N43" s="277"/>
      <c r="O43" s="277"/>
      <c r="P43" s="274"/>
      <c r="Q43" s="275"/>
      <c r="R43" s="276"/>
    </row>
    <row r="44" spans="1:18" ht="21" hidden="1">
      <c r="A44" s="266"/>
      <c r="B44" s="266"/>
      <c r="C44" s="266"/>
      <c r="D44" s="267"/>
      <c r="E44" s="266"/>
      <c r="F44" s="268"/>
      <c r="G44" s="268"/>
      <c r="H44" s="269"/>
      <c r="I44" s="278"/>
      <c r="J44" s="278"/>
      <c r="K44" s="270"/>
      <c r="L44" s="270"/>
      <c r="M44" s="5"/>
      <c r="N44" s="288"/>
      <c r="O44" s="281"/>
      <c r="P44" s="274"/>
      <c r="Q44" s="275"/>
    </row>
    <row r="45" spans="1:18" ht="21" hidden="1">
      <c r="A45" s="266"/>
      <c r="B45" s="266"/>
      <c r="C45" s="266"/>
      <c r="D45" s="267"/>
      <c r="E45" s="266"/>
      <c r="F45" s="268"/>
      <c r="G45" s="268"/>
      <c r="H45" s="269"/>
      <c r="I45" s="278"/>
      <c r="J45" s="278"/>
      <c r="K45" s="270"/>
      <c r="L45" s="270"/>
      <c r="M45" s="5"/>
      <c r="N45" s="288"/>
      <c r="O45" s="281"/>
      <c r="P45" s="274"/>
      <c r="Q45" s="275"/>
    </row>
    <row r="46" spans="1:18" hidden="1">
      <c r="A46" s="266"/>
      <c r="B46" s="266"/>
      <c r="C46" s="266"/>
      <c r="D46" s="267"/>
      <c r="E46" s="266"/>
      <c r="F46" s="268"/>
      <c r="G46" s="268"/>
      <c r="H46" s="269"/>
      <c r="I46" s="278"/>
      <c r="J46" s="278"/>
      <c r="K46" s="270"/>
      <c r="L46" s="270"/>
      <c r="M46" s="5"/>
      <c r="N46" s="277"/>
      <c r="O46" s="277"/>
      <c r="P46" s="274"/>
      <c r="Q46" s="275"/>
    </row>
    <row r="47" spans="1:18" hidden="1">
      <c r="A47" s="266"/>
      <c r="B47" s="266"/>
      <c r="C47" s="266"/>
      <c r="D47" s="267"/>
      <c r="E47" s="266"/>
      <c r="F47" s="268"/>
      <c r="G47" s="268"/>
      <c r="H47" s="269"/>
      <c r="I47" s="286"/>
      <c r="J47" s="286"/>
      <c r="K47" s="270"/>
      <c r="L47" s="270"/>
      <c r="M47" s="5">
        <v>1</v>
      </c>
      <c r="N47" s="277"/>
      <c r="O47" s="277"/>
      <c r="P47" s="274"/>
      <c r="Q47" s="275"/>
    </row>
    <row r="48" spans="1:18" hidden="1">
      <c r="A48" s="266"/>
      <c r="B48" s="266"/>
      <c r="C48" s="266"/>
      <c r="D48" s="267"/>
      <c r="E48" s="266"/>
      <c r="F48" s="268"/>
      <c r="G48" s="268"/>
      <c r="H48" s="269"/>
      <c r="I48" s="278"/>
      <c r="J48" s="278"/>
      <c r="K48" s="269"/>
      <c r="L48" s="270"/>
      <c r="M48" s="5"/>
      <c r="N48" s="277"/>
      <c r="O48" s="277"/>
      <c r="P48" s="274"/>
      <c r="Q48" s="275"/>
    </row>
    <row r="49" spans="1:18" ht="79.05" hidden="1" customHeight="1">
      <c r="A49" s="266"/>
      <c r="B49" s="266"/>
      <c r="C49" s="266"/>
      <c r="D49" s="267"/>
      <c r="E49" s="266"/>
      <c r="F49" s="268"/>
      <c r="G49" s="268"/>
      <c r="H49" s="269"/>
      <c r="I49" s="278"/>
      <c r="J49" s="278"/>
      <c r="K49" s="269"/>
      <c r="L49" s="270"/>
      <c r="M49" s="5"/>
      <c r="N49" s="277"/>
      <c r="O49" s="281"/>
      <c r="P49" s="274"/>
      <c r="Q49" s="275"/>
    </row>
    <row r="50" spans="1:18" ht="127.5" hidden="1" customHeight="1">
      <c r="A50" s="266"/>
      <c r="B50" s="266"/>
      <c r="C50" s="266"/>
      <c r="D50" s="267"/>
      <c r="E50" s="266"/>
      <c r="F50" s="268"/>
      <c r="G50" s="268"/>
      <c r="H50" s="269"/>
      <c r="I50" s="269"/>
      <c r="J50" s="269"/>
      <c r="K50" s="270"/>
      <c r="L50" s="270"/>
      <c r="M50" s="5"/>
      <c r="N50" s="279"/>
      <c r="O50" s="281"/>
      <c r="P50" s="274"/>
      <c r="Q50" s="275"/>
      <c r="R50" s="276"/>
    </row>
    <row r="51" spans="1:18" hidden="1">
      <c r="A51" s="266"/>
      <c r="B51" s="266"/>
      <c r="C51" s="266"/>
      <c r="D51" s="267"/>
      <c r="E51" s="266"/>
      <c r="F51" s="268"/>
      <c r="G51" s="268"/>
      <c r="H51" s="269"/>
      <c r="I51" s="278"/>
      <c r="J51" s="269"/>
      <c r="K51" s="269"/>
      <c r="L51" s="270"/>
      <c r="M51" s="5"/>
      <c r="N51" s="277"/>
      <c r="O51" s="277"/>
      <c r="P51" s="274"/>
      <c r="Q51" s="275"/>
    </row>
    <row r="52" spans="1:18" hidden="1">
      <c r="A52" s="266"/>
      <c r="B52" s="266"/>
      <c r="C52" s="266"/>
      <c r="D52" s="267"/>
      <c r="E52" s="266"/>
      <c r="F52" s="268"/>
      <c r="G52" s="268"/>
      <c r="H52" s="269"/>
      <c r="I52" s="278"/>
      <c r="J52" s="269"/>
      <c r="K52" s="269"/>
      <c r="L52" s="270"/>
      <c r="M52" s="5"/>
      <c r="N52" s="277"/>
      <c r="O52" s="277"/>
      <c r="P52" s="274"/>
      <c r="Q52" s="275"/>
    </row>
    <row r="53" spans="1:18" ht="161.55000000000001" hidden="1" customHeight="1">
      <c r="A53" s="266"/>
      <c r="B53" s="266"/>
      <c r="C53" s="266"/>
      <c r="D53" s="267"/>
      <c r="E53" s="266"/>
      <c r="F53" s="282"/>
      <c r="G53" s="282"/>
      <c r="H53" s="269"/>
      <c r="I53" s="269"/>
      <c r="J53" s="269"/>
      <c r="K53" s="269"/>
      <c r="L53" s="270"/>
      <c r="M53" s="5"/>
      <c r="N53" s="277"/>
      <c r="O53" s="277"/>
      <c r="P53" s="274"/>
      <c r="Q53" s="275"/>
    </row>
    <row r="54" spans="1:18" ht="88.05" hidden="1" customHeight="1">
      <c r="A54" s="266"/>
      <c r="B54" s="266"/>
      <c r="C54" s="266"/>
      <c r="D54" s="267"/>
      <c r="E54" s="266"/>
      <c r="F54" s="282"/>
      <c r="G54" s="282"/>
      <c r="H54" s="269"/>
      <c r="I54" s="278"/>
      <c r="J54" s="278"/>
      <c r="K54" s="269"/>
      <c r="L54" s="270"/>
      <c r="M54" s="5"/>
      <c r="N54" s="277"/>
      <c r="O54" s="281"/>
      <c r="P54" s="274"/>
      <c r="Q54" s="275"/>
    </row>
    <row r="55" spans="1:18" ht="121.95" hidden="1" customHeight="1">
      <c r="A55" s="266"/>
      <c r="B55" s="266"/>
      <c r="C55" s="266"/>
      <c r="D55" s="267"/>
      <c r="E55" s="266"/>
      <c r="F55" s="268"/>
      <c r="G55" s="282"/>
      <c r="H55" s="269"/>
      <c r="I55" s="278"/>
      <c r="J55" s="278"/>
      <c r="K55" s="269"/>
      <c r="L55" s="270"/>
      <c r="M55" s="5"/>
      <c r="N55" s="277"/>
      <c r="O55" s="281"/>
      <c r="P55" s="274"/>
      <c r="Q55" s="275"/>
    </row>
    <row r="56" spans="1:18" ht="167.55" hidden="1" customHeight="1">
      <c r="A56" s="266"/>
      <c r="B56" s="266"/>
      <c r="C56" s="266"/>
      <c r="D56" s="267"/>
      <c r="E56" s="266"/>
      <c r="F56" s="268"/>
      <c r="G56" s="282"/>
      <c r="H56" s="269"/>
      <c r="I56" s="278"/>
      <c r="J56" s="278"/>
      <c r="K56" s="270"/>
      <c r="L56" s="270"/>
      <c r="M56" s="5"/>
      <c r="N56" s="279"/>
      <c r="O56" s="281"/>
      <c r="P56" s="274"/>
      <c r="Q56" s="275"/>
    </row>
    <row r="57" spans="1:18" ht="94.5" hidden="1" customHeight="1">
      <c r="A57" s="266"/>
      <c r="B57" s="266"/>
      <c r="C57" s="266"/>
      <c r="D57" s="267"/>
      <c r="E57" s="266"/>
      <c r="F57" s="268"/>
      <c r="G57" s="282"/>
      <c r="H57" s="269"/>
      <c r="I57" s="278"/>
      <c r="J57" s="278"/>
      <c r="K57" s="270"/>
      <c r="L57" s="270"/>
      <c r="M57" s="5"/>
      <c r="N57" s="277"/>
      <c r="O57" s="281"/>
      <c r="P57" s="274"/>
      <c r="Q57" s="275"/>
      <c r="R57" s="276"/>
    </row>
    <row r="58" spans="1:18" ht="21" hidden="1">
      <c r="A58" s="266"/>
      <c r="B58" s="266"/>
      <c r="C58" s="266"/>
      <c r="D58" s="267"/>
      <c r="E58" s="266"/>
      <c r="F58" s="268"/>
      <c r="G58" s="282"/>
      <c r="H58" s="269"/>
      <c r="I58" s="278"/>
      <c r="J58" s="278"/>
      <c r="K58" s="270"/>
      <c r="L58" s="270"/>
      <c r="M58" s="5"/>
      <c r="N58" s="277"/>
      <c r="O58" s="281"/>
      <c r="P58" s="274"/>
      <c r="Q58" s="275"/>
      <c r="R58" s="276"/>
    </row>
    <row r="59" spans="1:18" hidden="1">
      <c r="A59" s="266"/>
      <c r="B59" s="266"/>
      <c r="C59" s="266"/>
      <c r="D59" s="267"/>
      <c r="E59" s="266"/>
      <c r="F59" s="268"/>
      <c r="G59" s="282"/>
      <c r="H59" s="269"/>
      <c r="I59" s="278"/>
      <c r="J59" s="278"/>
      <c r="K59" s="270"/>
      <c r="L59" s="270"/>
      <c r="M59" s="5"/>
      <c r="N59" s="277"/>
      <c r="O59" s="277"/>
      <c r="P59" s="274"/>
      <c r="Q59" s="275"/>
      <c r="R59" s="276"/>
    </row>
    <row r="60" spans="1:18" hidden="1">
      <c r="A60" s="266"/>
      <c r="B60" s="266"/>
      <c r="C60" s="266"/>
      <c r="D60" s="267"/>
      <c r="E60" s="266"/>
      <c r="F60" s="268"/>
      <c r="G60" s="282"/>
      <c r="H60" s="269"/>
      <c r="I60" s="278"/>
      <c r="J60" s="278"/>
      <c r="K60" s="270"/>
      <c r="L60" s="270"/>
      <c r="M60" s="5"/>
      <c r="N60" s="277"/>
      <c r="O60" s="277"/>
      <c r="P60" s="274"/>
      <c r="Q60" s="275"/>
      <c r="R60" s="276"/>
    </row>
    <row r="61" spans="1:18" ht="68.55" hidden="1" customHeight="1">
      <c r="A61" s="266"/>
      <c r="B61" s="266"/>
      <c r="C61" s="266"/>
      <c r="D61" s="267"/>
      <c r="E61" s="266"/>
      <c r="F61" s="268"/>
      <c r="G61" s="282"/>
      <c r="H61" s="269"/>
      <c r="I61" s="270"/>
      <c r="J61" s="270"/>
      <c r="K61" s="269"/>
      <c r="L61" s="270"/>
      <c r="M61" s="5"/>
      <c r="N61" s="277"/>
      <c r="O61" s="277"/>
      <c r="P61" s="274"/>
      <c r="Q61" s="275"/>
    </row>
    <row r="62" spans="1:18" ht="78" hidden="1" customHeight="1">
      <c r="A62" s="266"/>
      <c r="B62" s="266"/>
      <c r="C62" s="266"/>
      <c r="D62" s="267"/>
      <c r="E62" s="266"/>
      <c r="F62" s="268"/>
      <c r="G62" s="282"/>
      <c r="H62" s="269"/>
      <c r="I62" s="270"/>
      <c r="J62" s="270"/>
      <c r="K62" s="269"/>
      <c r="L62" s="270"/>
      <c r="M62" s="5"/>
      <c r="N62" s="284"/>
      <c r="O62" s="284"/>
      <c r="P62" s="274"/>
      <c r="Q62" s="275"/>
    </row>
    <row r="63" spans="1:18" hidden="1">
      <c r="A63" s="266"/>
      <c r="B63" s="266"/>
      <c r="C63" s="266"/>
      <c r="D63" s="267"/>
      <c r="E63" s="266"/>
      <c r="F63" s="268"/>
      <c r="G63" s="282"/>
      <c r="H63" s="269"/>
      <c r="I63" s="270"/>
      <c r="J63" s="270"/>
      <c r="K63" s="270"/>
      <c r="L63" s="270"/>
      <c r="M63" s="5"/>
      <c r="N63" s="277"/>
      <c r="O63" s="277"/>
      <c r="P63" s="274"/>
      <c r="Q63" s="275"/>
    </row>
    <row r="64" spans="1:18" hidden="1">
      <c r="A64" s="266"/>
      <c r="B64" s="266"/>
      <c r="C64" s="266"/>
      <c r="D64" s="267"/>
      <c r="E64" s="266"/>
      <c r="F64" s="268"/>
      <c r="G64" s="282"/>
      <c r="H64" s="269"/>
      <c r="I64" s="270"/>
      <c r="J64" s="270"/>
      <c r="K64" s="270"/>
      <c r="L64" s="270"/>
      <c r="M64" s="5"/>
      <c r="N64" s="277"/>
      <c r="O64" s="277"/>
      <c r="P64" s="274"/>
      <c r="Q64" s="275"/>
    </row>
    <row r="65" spans="1:17" hidden="1">
      <c r="A65" s="266"/>
      <c r="B65" s="266"/>
      <c r="C65" s="266"/>
      <c r="D65" s="267"/>
      <c r="E65" s="266"/>
      <c r="F65" s="268"/>
      <c r="G65" s="287"/>
      <c r="H65" s="269"/>
      <c r="I65" s="270"/>
      <c r="J65" s="270"/>
      <c r="K65" s="269"/>
      <c r="L65" s="270"/>
      <c r="M65" s="5"/>
      <c r="N65" s="277"/>
      <c r="O65" s="277"/>
      <c r="P65" s="274"/>
      <c r="Q65" s="275"/>
    </row>
    <row r="66" spans="1:17" ht="21" hidden="1">
      <c r="A66" s="266"/>
      <c r="B66" s="266"/>
      <c r="C66" s="266"/>
      <c r="D66" s="267"/>
      <c r="E66" s="266"/>
      <c r="F66" s="268"/>
      <c r="G66" s="282"/>
      <c r="H66" s="269"/>
      <c r="I66" s="270"/>
      <c r="J66" s="270"/>
      <c r="K66" s="269"/>
      <c r="L66" s="270"/>
      <c r="M66" s="5"/>
      <c r="N66" s="277"/>
      <c r="O66" s="281"/>
      <c r="P66" s="274"/>
      <c r="Q66" s="275"/>
    </row>
    <row r="67" spans="1:17" ht="21" hidden="1">
      <c r="A67" s="266"/>
      <c r="B67" s="266"/>
      <c r="C67" s="266"/>
      <c r="D67" s="267"/>
      <c r="E67" s="266"/>
      <c r="F67" s="268"/>
      <c r="G67" s="282"/>
      <c r="H67" s="269"/>
      <c r="I67" s="270"/>
      <c r="J67" s="270"/>
      <c r="K67" s="269"/>
      <c r="L67" s="270"/>
      <c r="M67" s="5"/>
      <c r="N67" s="277"/>
      <c r="O67" s="281"/>
      <c r="P67" s="274"/>
      <c r="Q67" s="275"/>
    </row>
    <row r="68" spans="1:17" hidden="1">
      <c r="A68" s="266"/>
      <c r="B68" s="266"/>
      <c r="C68" s="266"/>
      <c r="D68" s="267"/>
      <c r="E68" s="266"/>
      <c r="F68" s="268"/>
      <c r="G68" s="282"/>
      <c r="H68" s="269"/>
      <c r="I68" s="270"/>
      <c r="J68" s="270"/>
      <c r="K68" s="270"/>
      <c r="L68" s="270"/>
      <c r="M68" s="5"/>
      <c r="N68" s="277"/>
      <c r="O68" s="277"/>
      <c r="P68" s="274"/>
      <c r="Q68" s="275"/>
    </row>
    <row r="69" spans="1:17" hidden="1">
      <c r="A69" s="266"/>
      <c r="B69" s="266"/>
      <c r="C69" s="266"/>
      <c r="D69" s="267"/>
      <c r="E69" s="266"/>
      <c r="F69" s="268"/>
      <c r="G69" s="282"/>
      <c r="H69" s="269"/>
      <c r="I69" s="270"/>
      <c r="J69" s="270"/>
      <c r="K69" s="270"/>
      <c r="L69" s="270"/>
      <c r="M69" s="5"/>
      <c r="N69" s="277"/>
      <c r="O69" s="277"/>
      <c r="P69" s="274"/>
      <c r="Q69" s="275"/>
    </row>
    <row r="70" spans="1:17" hidden="1">
      <c r="A70" s="266"/>
      <c r="B70" s="266"/>
      <c r="C70" s="266"/>
      <c r="D70" s="267"/>
      <c r="E70" s="266"/>
      <c r="F70" s="268"/>
      <c r="G70" s="282"/>
      <c r="H70" s="269"/>
      <c r="I70" s="270"/>
      <c r="J70" s="270"/>
      <c r="K70" s="269"/>
      <c r="L70" s="270"/>
      <c r="M70" s="5"/>
      <c r="N70" s="277"/>
      <c r="O70" s="277"/>
      <c r="P70" s="274"/>
      <c r="Q70" s="275"/>
    </row>
    <row r="71" spans="1:17" hidden="1">
      <c r="A71" s="266"/>
      <c r="B71" s="266"/>
      <c r="C71" s="266"/>
      <c r="D71" s="267"/>
      <c r="E71" s="266"/>
      <c r="F71" s="268"/>
      <c r="G71" s="287"/>
      <c r="H71" s="269"/>
      <c r="I71" s="270"/>
      <c r="J71" s="270"/>
      <c r="K71" s="269"/>
      <c r="L71" s="270"/>
      <c r="M71" s="5"/>
      <c r="N71" s="277"/>
      <c r="O71" s="277"/>
      <c r="P71" s="274"/>
      <c r="Q71" s="275"/>
    </row>
    <row r="72" spans="1:17" hidden="1">
      <c r="A72" s="283"/>
      <c r="B72" s="266"/>
      <c r="C72" s="266"/>
      <c r="D72" s="267"/>
      <c r="E72" s="266"/>
      <c r="F72" s="268"/>
      <c r="G72" s="282"/>
      <c r="H72" s="269"/>
      <c r="I72" s="270"/>
      <c r="J72" s="270"/>
      <c r="K72" s="269"/>
      <c r="L72" s="270"/>
      <c r="M72" s="5"/>
      <c r="N72" s="277"/>
      <c r="O72" s="277"/>
      <c r="P72" s="274"/>
      <c r="Q72" s="275"/>
    </row>
    <row r="73" spans="1:17" ht="124.2">
      <c r="A73" s="23" t="s">
        <v>280</v>
      </c>
      <c r="B73" s="3" t="s">
        <v>281</v>
      </c>
      <c r="C73" s="3" t="s">
        <v>282</v>
      </c>
      <c r="D73" s="6" t="s">
        <v>18</v>
      </c>
      <c r="E73" s="3">
        <v>1</v>
      </c>
      <c r="F73" s="4" t="s">
        <v>286</v>
      </c>
      <c r="G73" s="22" t="s">
        <v>287</v>
      </c>
      <c r="H73" s="11" t="s">
        <v>21</v>
      </c>
      <c r="I73" s="5" t="s">
        <v>288</v>
      </c>
      <c r="J73" s="5" t="s">
        <v>289</v>
      </c>
      <c r="K73" s="5" t="s">
        <v>30</v>
      </c>
      <c r="L73" s="5" t="s">
        <v>2572</v>
      </c>
      <c r="M73" s="5"/>
      <c r="N73" s="284" t="s">
        <v>2601</v>
      </c>
      <c r="O73" s="284" t="s">
        <v>2510</v>
      </c>
      <c r="P73" s="202" t="s">
        <v>2597</v>
      </c>
      <c r="Q73" s="201">
        <v>69</v>
      </c>
    </row>
    <row r="74" spans="1:17" ht="204" customHeight="1">
      <c r="A74" s="23" t="s">
        <v>280</v>
      </c>
      <c r="B74" s="3" t="s">
        <v>281</v>
      </c>
      <c r="C74" s="3" t="s">
        <v>282</v>
      </c>
      <c r="D74" s="7" t="s">
        <v>24</v>
      </c>
      <c r="E74" s="3">
        <v>2</v>
      </c>
      <c r="F74" s="4" t="s">
        <v>290</v>
      </c>
      <c r="G74" s="22" t="s">
        <v>291</v>
      </c>
      <c r="H74" s="11" t="s">
        <v>21</v>
      </c>
      <c r="I74" s="5" t="s">
        <v>21</v>
      </c>
      <c r="J74" s="5" t="s">
        <v>292</v>
      </c>
      <c r="K74" s="11" t="s">
        <v>21</v>
      </c>
      <c r="L74" s="5" t="s">
        <v>31</v>
      </c>
      <c r="M74" s="5"/>
      <c r="N74" s="277"/>
      <c r="O74" s="277"/>
      <c r="P74" s="202" t="s">
        <v>2597</v>
      </c>
      <c r="Q74" s="201">
        <v>70</v>
      </c>
    </row>
    <row r="75" spans="1:17" ht="131.55000000000001" customHeight="1">
      <c r="A75" s="23" t="s">
        <v>280</v>
      </c>
      <c r="B75" s="3" t="s">
        <v>281</v>
      </c>
      <c r="C75" s="3" t="s">
        <v>282</v>
      </c>
      <c r="D75" s="7" t="s">
        <v>24</v>
      </c>
      <c r="E75" s="3">
        <v>2</v>
      </c>
      <c r="F75" s="4" t="s">
        <v>293</v>
      </c>
      <c r="G75" s="22" t="s">
        <v>294</v>
      </c>
      <c r="H75" s="11" t="s">
        <v>27</v>
      </c>
      <c r="I75" s="5" t="s">
        <v>295</v>
      </c>
      <c r="J75" s="5" t="s">
        <v>296</v>
      </c>
      <c r="K75" s="5" t="s">
        <v>31</v>
      </c>
      <c r="L75" s="5" t="s">
        <v>31</v>
      </c>
      <c r="M75" s="5"/>
      <c r="N75" s="277"/>
      <c r="O75" s="277"/>
      <c r="P75" s="202" t="s">
        <v>2597</v>
      </c>
      <c r="Q75" s="201">
        <v>71</v>
      </c>
    </row>
    <row r="76" spans="1:17" ht="127.5" customHeight="1">
      <c r="A76" s="23" t="s">
        <v>280</v>
      </c>
      <c r="B76" s="3" t="s">
        <v>281</v>
      </c>
      <c r="C76" s="3" t="s">
        <v>282</v>
      </c>
      <c r="D76" s="7" t="s">
        <v>24</v>
      </c>
      <c r="E76" s="3">
        <v>2</v>
      </c>
      <c r="F76" s="4" t="s">
        <v>297</v>
      </c>
      <c r="G76" s="22" t="s">
        <v>298</v>
      </c>
      <c r="H76" s="11" t="s">
        <v>27</v>
      </c>
      <c r="I76" s="5" t="s">
        <v>299</v>
      </c>
      <c r="J76" s="5" t="s">
        <v>300</v>
      </c>
      <c r="K76" s="5" t="s">
        <v>30</v>
      </c>
      <c r="L76" s="5" t="s">
        <v>2572</v>
      </c>
      <c r="M76" s="5"/>
      <c r="N76" s="277" t="s">
        <v>2642</v>
      </c>
      <c r="O76" s="277" t="s">
        <v>2485</v>
      </c>
      <c r="P76" s="202" t="s">
        <v>2597</v>
      </c>
      <c r="Q76" s="201">
        <v>72</v>
      </c>
    </row>
    <row r="77" spans="1:17" hidden="1">
      <c r="A77" s="283"/>
      <c r="B77" s="266"/>
      <c r="C77" s="266"/>
      <c r="D77" s="267"/>
      <c r="E77" s="266"/>
      <c r="F77" s="268"/>
      <c r="G77" s="282"/>
      <c r="H77" s="269"/>
      <c r="I77" s="270"/>
      <c r="J77" s="270"/>
      <c r="K77" s="269"/>
      <c r="L77" s="270"/>
      <c r="M77" s="5"/>
      <c r="N77" s="277"/>
      <c r="O77" s="277"/>
      <c r="P77" s="274"/>
      <c r="Q77" s="275"/>
    </row>
    <row r="78" spans="1:17" ht="252" hidden="1" customHeight="1">
      <c r="A78" s="283"/>
      <c r="B78" s="266"/>
      <c r="C78" s="266"/>
      <c r="D78" s="267"/>
      <c r="E78" s="266"/>
      <c r="F78" s="268"/>
      <c r="G78" s="282"/>
      <c r="H78" s="269"/>
      <c r="I78" s="270"/>
      <c r="J78" s="270"/>
      <c r="K78" s="269"/>
      <c r="L78" s="270"/>
      <c r="M78" s="5"/>
      <c r="N78" s="277"/>
      <c r="O78" s="277"/>
      <c r="P78" s="274"/>
      <c r="Q78" s="275"/>
    </row>
    <row r="79" spans="1:17" ht="242.55" hidden="1" customHeight="1">
      <c r="A79" s="283"/>
      <c r="B79" s="266"/>
      <c r="C79" s="266"/>
      <c r="D79" s="267"/>
      <c r="E79" s="266"/>
      <c r="F79" s="268"/>
      <c r="G79" s="282"/>
      <c r="H79" s="269"/>
      <c r="I79" s="278"/>
      <c r="J79" s="270"/>
      <c r="K79" s="269"/>
      <c r="L79" s="270"/>
      <c r="M79" s="5"/>
      <c r="N79" s="277"/>
      <c r="O79" s="277"/>
      <c r="P79" s="274"/>
      <c r="Q79" s="275"/>
    </row>
    <row r="80" spans="1:17" ht="180.45" hidden="1" customHeight="1">
      <c r="A80" s="283"/>
      <c r="B80" s="266"/>
      <c r="C80" s="266"/>
      <c r="D80" s="267"/>
      <c r="E80" s="266"/>
      <c r="F80" s="268"/>
      <c r="G80" s="282"/>
      <c r="H80" s="269"/>
      <c r="I80" s="278"/>
      <c r="J80" s="278"/>
      <c r="K80" s="270"/>
      <c r="L80" s="270"/>
      <c r="M80" s="5"/>
      <c r="N80" s="277"/>
      <c r="O80" s="277"/>
      <c r="P80" s="274"/>
      <c r="Q80" s="275"/>
    </row>
    <row r="81" spans="1:18" ht="173.55" hidden="1" customHeight="1">
      <c r="A81" s="283"/>
      <c r="B81" s="266"/>
      <c r="C81" s="266"/>
      <c r="D81" s="267"/>
      <c r="E81" s="266"/>
      <c r="F81" s="268"/>
      <c r="G81" s="282"/>
      <c r="H81" s="269"/>
      <c r="I81" s="269"/>
      <c r="J81" s="270"/>
      <c r="K81" s="269"/>
      <c r="L81" s="270"/>
      <c r="M81" s="5"/>
      <c r="N81" s="279"/>
      <c r="O81" s="279"/>
      <c r="P81" s="274"/>
      <c r="Q81" s="275"/>
    </row>
    <row r="82" spans="1:18" hidden="1">
      <c r="A82" s="283"/>
      <c r="B82" s="266"/>
      <c r="C82" s="266"/>
      <c r="D82" s="267"/>
      <c r="E82" s="266"/>
      <c r="F82" s="268"/>
      <c r="G82" s="282"/>
      <c r="H82" s="269"/>
      <c r="I82" s="269"/>
      <c r="J82" s="269"/>
      <c r="K82" s="269"/>
      <c r="L82" s="270"/>
      <c r="M82" s="5"/>
      <c r="N82" s="284"/>
      <c r="O82" s="284"/>
      <c r="P82" s="274"/>
      <c r="Q82" s="275"/>
    </row>
    <row r="83" spans="1:18" hidden="1">
      <c r="A83" s="283"/>
      <c r="B83" s="266"/>
      <c r="C83" s="266"/>
      <c r="D83" s="267"/>
      <c r="E83" s="266"/>
      <c r="F83" s="268"/>
      <c r="G83" s="282"/>
      <c r="H83" s="269"/>
      <c r="I83" s="269"/>
      <c r="J83" s="269"/>
      <c r="K83" s="269"/>
      <c r="L83" s="270"/>
      <c r="M83" s="5"/>
      <c r="N83" s="277"/>
      <c r="O83" s="277"/>
      <c r="P83" s="274"/>
      <c r="Q83" s="275"/>
    </row>
    <row r="84" spans="1:18" hidden="1">
      <c r="A84" s="283"/>
      <c r="B84" s="266"/>
      <c r="C84" s="266"/>
      <c r="D84" s="267"/>
      <c r="E84" s="266"/>
      <c r="F84" s="268"/>
      <c r="G84" s="282"/>
      <c r="H84" s="269"/>
      <c r="I84" s="278"/>
      <c r="J84" s="278"/>
      <c r="K84" s="269"/>
      <c r="L84" s="270"/>
      <c r="M84" s="5"/>
      <c r="N84" s="277"/>
      <c r="O84" s="277"/>
      <c r="P84" s="274"/>
      <c r="Q84" s="275"/>
    </row>
    <row r="85" spans="1:18" hidden="1">
      <c r="A85" s="283"/>
      <c r="B85" s="266"/>
      <c r="C85" s="266"/>
      <c r="D85" s="267"/>
      <c r="E85" s="266"/>
      <c r="F85" s="268"/>
      <c r="G85" s="282"/>
      <c r="H85" s="269"/>
      <c r="I85" s="278"/>
      <c r="J85" s="278"/>
      <c r="K85" s="270"/>
      <c r="L85" s="270"/>
      <c r="M85" s="5">
        <v>1</v>
      </c>
      <c r="N85" s="277"/>
      <c r="O85" s="277"/>
      <c r="P85" s="274"/>
      <c r="Q85" s="275"/>
      <c r="R85" s="276"/>
    </row>
    <row r="86" spans="1:18" ht="67.5" hidden="1" customHeight="1">
      <c r="A86" s="283"/>
      <c r="B86" s="266"/>
      <c r="C86" s="266"/>
      <c r="D86" s="267"/>
      <c r="E86" s="266"/>
      <c r="F86" s="268"/>
      <c r="G86" s="282"/>
      <c r="H86" s="269"/>
      <c r="I86" s="278"/>
      <c r="J86" s="278"/>
      <c r="K86" s="269"/>
      <c r="L86" s="270"/>
      <c r="M86" s="17"/>
      <c r="N86" s="277"/>
      <c r="O86" s="277"/>
      <c r="P86" s="274"/>
      <c r="Q86" s="275"/>
    </row>
    <row r="87" spans="1:18" hidden="1">
      <c r="A87" s="283"/>
      <c r="B87" s="266"/>
      <c r="C87" s="266"/>
      <c r="D87" s="267"/>
      <c r="E87" s="266"/>
      <c r="F87" s="268"/>
      <c r="G87" s="282"/>
      <c r="H87" s="269"/>
      <c r="I87" s="278"/>
      <c r="J87" s="278"/>
      <c r="K87" s="270"/>
      <c r="L87" s="270"/>
      <c r="M87" s="5">
        <v>1</v>
      </c>
      <c r="N87" s="277"/>
      <c r="O87" s="277"/>
      <c r="P87" s="274"/>
      <c r="Q87" s="275"/>
    </row>
    <row r="88" spans="1:18" hidden="1">
      <c r="A88" s="283"/>
      <c r="B88" s="266"/>
      <c r="C88" s="266"/>
      <c r="D88" s="267"/>
      <c r="E88" s="266"/>
      <c r="F88" s="268"/>
      <c r="G88" s="282"/>
      <c r="H88" s="269"/>
      <c r="I88" s="278"/>
      <c r="J88" s="278"/>
      <c r="K88" s="270"/>
      <c r="L88" s="270"/>
      <c r="M88" s="5">
        <v>1</v>
      </c>
      <c r="N88" s="277"/>
      <c r="O88" s="277"/>
      <c r="P88" s="274"/>
      <c r="Q88" s="275"/>
      <c r="R88" s="276"/>
    </row>
    <row r="89" spans="1:18" hidden="1">
      <c r="A89" s="283"/>
      <c r="B89" s="266"/>
      <c r="C89" s="266"/>
      <c r="D89" s="267"/>
      <c r="E89" s="266"/>
      <c r="F89" s="268"/>
      <c r="G89" s="282"/>
      <c r="H89" s="269"/>
      <c r="I89" s="278"/>
      <c r="J89" s="278"/>
      <c r="K89" s="270"/>
      <c r="L89" s="270"/>
      <c r="M89" s="5">
        <v>1</v>
      </c>
      <c r="N89" s="277"/>
      <c r="O89" s="277"/>
      <c r="P89" s="274"/>
      <c r="Q89" s="275"/>
      <c r="R89" s="276"/>
    </row>
    <row r="90" spans="1:18" ht="100.5" hidden="1" customHeight="1">
      <c r="A90" s="283"/>
      <c r="B90" s="266"/>
      <c r="C90" s="266"/>
      <c r="D90" s="267"/>
      <c r="E90" s="266"/>
      <c r="F90" s="268"/>
      <c r="G90" s="282"/>
      <c r="H90" s="269"/>
      <c r="I90" s="269"/>
      <c r="J90" s="269"/>
      <c r="K90" s="269"/>
      <c r="L90" s="270"/>
      <c r="M90" s="5"/>
      <c r="N90" s="284"/>
      <c r="O90" s="284"/>
      <c r="P90" s="274"/>
      <c r="Q90" s="275"/>
    </row>
    <row r="91" spans="1:18" ht="79.05" hidden="1" customHeight="1">
      <c r="A91" s="283"/>
      <c r="B91" s="266"/>
      <c r="C91" s="266"/>
      <c r="D91" s="267"/>
      <c r="E91" s="266"/>
      <c r="F91" s="268"/>
      <c r="G91" s="282"/>
      <c r="H91" s="269"/>
      <c r="I91" s="269"/>
      <c r="J91" s="269"/>
      <c r="K91" s="269"/>
      <c r="L91" s="270"/>
      <c r="M91" s="5"/>
      <c r="N91" s="284"/>
      <c r="O91" s="284"/>
      <c r="P91" s="274"/>
      <c r="Q91" s="275"/>
    </row>
    <row r="92" spans="1:18" hidden="1">
      <c r="A92" s="283"/>
      <c r="B92" s="266"/>
      <c r="C92" s="266"/>
      <c r="D92" s="267"/>
      <c r="E92" s="266"/>
      <c r="F92" s="268"/>
      <c r="G92" s="282"/>
      <c r="H92" s="269"/>
      <c r="I92" s="278"/>
      <c r="J92" s="278"/>
      <c r="K92" s="270"/>
      <c r="L92" s="270"/>
      <c r="M92" s="5"/>
      <c r="N92" s="279"/>
      <c r="O92" s="279"/>
      <c r="P92" s="274"/>
      <c r="Q92" s="275"/>
      <c r="R92" s="276"/>
    </row>
    <row r="93" spans="1:18" ht="76.05" hidden="1" customHeight="1">
      <c r="A93" s="283"/>
      <c r="B93" s="266"/>
      <c r="C93" s="266"/>
      <c r="D93" s="267"/>
      <c r="E93" s="266"/>
      <c r="F93" s="268"/>
      <c r="G93" s="282"/>
      <c r="H93" s="269"/>
      <c r="I93" s="278"/>
      <c r="J93" s="278"/>
      <c r="K93" s="269"/>
      <c r="L93" s="270"/>
      <c r="M93" s="5"/>
      <c r="N93" s="277"/>
      <c r="O93" s="277"/>
      <c r="P93" s="274"/>
      <c r="Q93" s="275"/>
    </row>
    <row r="94" spans="1:18" hidden="1">
      <c r="A94" s="283"/>
      <c r="B94" s="266"/>
      <c r="C94" s="266"/>
      <c r="D94" s="267"/>
      <c r="E94" s="266"/>
      <c r="F94" s="268"/>
      <c r="G94" s="282"/>
      <c r="H94" s="269"/>
      <c r="I94" s="278"/>
      <c r="J94" s="278"/>
      <c r="K94" s="270"/>
      <c r="L94" s="270"/>
      <c r="M94" s="5">
        <v>1</v>
      </c>
      <c r="N94" s="277"/>
      <c r="O94" s="277"/>
      <c r="P94" s="274"/>
      <c r="Q94" s="275"/>
    </row>
    <row r="95" spans="1:18" hidden="1">
      <c r="A95" s="283"/>
      <c r="B95" s="266"/>
      <c r="C95" s="266"/>
      <c r="D95" s="267"/>
      <c r="E95" s="266"/>
      <c r="F95" s="268"/>
      <c r="G95" s="282"/>
      <c r="H95" s="269"/>
      <c r="I95" s="278"/>
      <c r="J95" s="278"/>
      <c r="K95" s="270"/>
      <c r="L95" s="270"/>
      <c r="M95" s="5">
        <v>1</v>
      </c>
      <c r="N95" s="277"/>
      <c r="O95" s="277"/>
      <c r="P95" s="274"/>
      <c r="Q95" s="275"/>
      <c r="R95" s="276"/>
    </row>
    <row r="96" spans="1:18" hidden="1">
      <c r="A96" s="283"/>
      <c r="B96" s="266"/>
      <c r="C96" s="266"/>
      <c r="D96" s="267"/>
      <c r="E96" s="266"/>
      <c r="F96" s="268"/>
      <c r="G96" s="282"/>
      <c r="H96" s="269"/>
      <c r="I96" s="278"/>
      <c r="J96" s="278"/>
      <c r="K96" s="270"/>
      <c r="L96" s="270"/>
      <c r="M96" s="5"/>
      <c r="N96" s="277"/>
      <c r="O96" s="277"/>
      <c r="P96" s="274"/>
      <c r="Q96" s="275"/>
    </row>
    <row r="97" spans="1:17" hidden="1">
      <c r="A97" s="283"/>
      <c r="B97" s="266"/>
      <c r="C97" s="266"/>
      <c r="D97" s="267"/>
      <c r="E97" s="266"/>
      <c r="F97" s="268"/>
      <c r="G97" s="282"/>
      <c r="H97" s="269"/>
      <c r="I97" s="278"/>
      <c r="J97" s="278"/>
      <c r="K97" s="270"/>
      <c r="L97" s="270"/>
      <c r="M97" s="5">
        <v>1</v>
      </c>
      <c r="N97" s="277"/>
      <c r="O97" s="277"/>
      <c r="P97" s="274"/>
      <c r="Q97" s="275"/>
    </row>
    <row r="98" spans="1:17" ht="66.45" hidden="1" customHeight="1">
      <c r="A98" s="283"/>
      <c r="B98" s="266"/>
      <c r="C98" s="266"/>
      <c r="D98" s="267"/>
      <c r="E98" s="266"/>
      <c r="F98" s="268"/>
      <c r="G98" s="282"/>
      <c r="H98" s="269"/>
      <c r="I98" s="278"/>
      <c r="J98" s="278"/>
      <c r="K98" s="269"/>
      <c r="L98" s="270"/>
      <c r="M98" s="5"/>
      <c r="N98" s="277"/>
      <c r="O98" s="277"/>
      <c r="P98" s="274"/>
      <c r="Q98" s="275"/>
    </row>
    <row r="99" spans="1:17" hidden="1">
      <c r="A99" s="283"/>
      <c r="B99" s="266"/>
      <c r="C99" s="266"/>
      <c r="D99" s="267"/>
      <c r="E99" s="266"/>
      <c r="F99" s="272"/>
      <c r="G99" s="287"/>
      <c r="H99" s="269"/>
      <c r="I99" s="278"/>
      <c r="J99" s="278"/>
      <c r="K99" s="269"/>
      <c r="L99" s="270"/>
      <c r="M99" s="5"/>
      <c r="N99" s="277"/>
      <c r="O99" s="277"/>
      <c r="P99" s="274"/>
      <c r="Q99" s="275"/>
    </row>
    <row r="100" spans="1:17" hidden="1">
      <c r="A100" s="283"/>
      <c r="B100" s="266"/>
      <c r="C100" s="266"/>
      <c r="D100" s="267"/>
      <c r="E100" s="266"/>
      <c r="F100" s="268"/>
      <c r="G100" s="282"/>
      <c r="H100" s="269"/>
      <c r="I100" s="278"/>
      <c r="J100" s="278"/>
      <c r="K100" s="269"/>
      <c r="L100" s="270"/>
      <c r="M100" s="5"/>
      <c r="N100" s="277"/>
      <c r="O100" s="277"/>
      <c r="P100" s="274"/>
      <c r="Q100" s="275"/>
    </row>
    <row r="101" spans="1:17" ht="166.05" customHeight="1">
      <c r="A101" s="23" t="s">
        <v>280</v>
      </c>
      <c r="B101" s="3" t="s">
        <v>281</v>
      </c>
      <c r="C101" s="3" t="s">
        <v>378</v>
      </c>
      <c r="D101" s="7" t="s">
        <v>24</v>
      </c>
      <c r="E101" s="3">
        <v>2</v>
      </c>
      <c r="F101" s="4" t="s">
        <v>382</v>
      </c>
      <c r="G101" s="22" t="s">
        <v>383</v>
      </c>
      <c r="H101" s="11" t="s">
        <v>27</v>
      </c>
      <c r="I101" s="15" t="s">
        <v>384</v>
      </c>
      <c r="J101" s="15" t="s">
        <v>385</v>
      </c>
      <c r="K101" s="5" t="s">
        <v>23</v>
      </c>
      <c r="L101" s="5" t="s">
        <v>23</v>
      </c>
      <c r="M101" s="5"/>
      <c r="N101" s="277"/>
      <c r="O101" s="277" t="s">
        <v>2561</v>
      </c>
      <c r="P101" s="202" t="s">
        <v>2597</v>
      </c>
      <c r="Q101" s="201">
        <v>97</v>
      </c>
    </row>
    <row r="102" spans="1:17" ht="165.6">
      <c r="A102" s="23" t="s">
        <v>280</v>
      </c>
      <c r="B102" s="3" t="s">
        <v>281</v>
      </c>
      <c r="C102" s="3" t="s">
        <v>378</v>
      </c>
      <c r="D102" s="7" t="s">
        <v>24</v>
      </c>
      <c r="E102" s="3">
        <v>2</v>
      </c>
      <c r="F102" s="4" t="s">
        <v>386</v>
      </c>
      <c r="G102" s="22" t="s">
        <v>387</v>
      </c>
      <c r="H102" s="11" t="s">
        <v>27</v>
      </c>
      <c r="I102" s="15" t="s">
        <v>388</v>
      </c>
      <c r="J102" s="15" t="s">
        <v>389</v>
      </c>
      <c r="K102" s="5" t="s">
        <v>31</v>
      </c>
      <c r="L102" s="5" t="s">
        <v>31</v>
      </c>
      <c r="M102" s="5"/>
      <c r="N102" s="277" t="s">
        <v>2562</v>
      </c>
      <c r="O102" s="277" t="s">
        <v>2561</v>
      </c>
      <c r="P102" s="202" t="s">
        <v>2597</v>
      </c>
      <c r="Q102" s="201">
        <v>98</v>
      </c>
    </row>
    <row r="103" spans="1:17" ht="104.55" hidden="1" customHeight="1">
      <c r="A103" s="283"/>
      <c r="B103" s="266"/>
      <c r="C103" s="266"/>
      <c r="D103" s="267"/>
      <c r="E103" s="266"/>
      <c r="F103" s="268"/>
      <c r="G103" s="282"/>
      <c r="H103" s="269"/>
      <c r="I103" s="278"/>
      <c r="J103" s="278"/>
      <c r="K103" s="269"/>
      <c r="L103" s="270"/>
      <c r="M103" s="5"/>
      <c r="N103" s="277"/>
      <c r="O103" s="277"/>
      <c r="P103" s="274"/>
      <c r="Q103" s="275"/>
    </row>
    <row r="104" spans="1:17" ht="123.45" hidden="1" customHeight="1">
      <c r="A104" s="283"/>
      <c r="B104" s="266"/>
      <c r="C104" s="266"/>
      <c r="D104" s="267"/>
      <c r="E104" s="266"/>
      <c r="F104" s="268"/>
      <c r="G104" s="282"/>
      <c r="H104" s="269"/>
      <c r="I104" s="278"/>
      <c r="J104" s="278"/>
      <c r="K104" s="270"/>
      <c r="L104" s="270"/>
      <c r="M104" s="5"/>
      <c r="N104" s="277"/>
      <c r="O104" s="277"/>
      <c r="P104" s="274"/>
      <c r="Q104" s="275"/>
    </row>
    <row r="105" spans="1:17" hidden="1">
      <c r="A105" s="283"/>
      <c r="B105" s="266"/>
      <c r="C105" s="266"/>
      <c r="D105" s="267"/>
      <c r="E105" s="266"/>
      <c r="F105" s="268"/>
      <c r="G105" s="282"/>
      <c r="H105" s="269"/>
      <c r="I105" s="278"/>
      <c r="J105" s="278"/>
      <c r="K105" s="270"/>
      <c r="L105" s="270"/>
      <c r="M105" s="5">
        <v>1</v>
      </c>
      <c r="N105" s="277"/>
      <c r="O105" s="277"/>
      <c r="P105" s="274"/>
      <c r="Q105" s="275"/>
    </row>
    <row r="106" spans="1:17" hidden="1">
      <c r="A106" s="283"/>
      <c r="B106" s="266"/>
      <c r="C106" s="266"/>
      <c r="D106" s="289"/>
      <c r="E106" s="266"/>
      <c r="F106" s="268"/>
      <c r="G106" s="282"/>
      <c r="H106" s="269"/>
      <c r="I106" s="278"/>
      <c r="J106" s="278"/>
      <c r="K106" s="270"/>
      <c r="L106" s="270"/>
      <c r="M106" s="5"/>
      <c r="N106" s="277"/>
      <c r="O106" s="277"/>
      <c r="P106" s="274"/>
      <c r="Q106" s="275"/>
    </row>
    <row r="107" spans="1:17" hidden="1">
      <c r="A107" s="283"/>
      <c r="B107" s="266"/>
      <c r="C107" s="266"/>
      <c r="D107" s="267"/>
      <c r="E107" s="266"/>
      <c r="F107" s="268"/>
      <c r="G107" s="282"/>
      <c r="H107" s="269"/>
      <c r="I107" s="278"/>
      <c r="J107" s="278"/>
      <c r="K107" s="269"/>
      <c r="L107" s="270"/>
      <c r="M107" s="5"/>
      <c r="N107" s="277"/>
      <c r="O107" s="277"/>
      <c r="P107" s="274"/>
      <c r="Q107" s="275"/>
    </row>
    <row r="108" spans="1:17" hidden="1">
      <c r="A108" s="283"/>
      <c r="B108" s="266"/>
      <c r="C108" s="266"/>
      <c r="D108" s="267"/>
      <c r="E108" s="266"/>
      <c r="F108" s="268"/>
      <c r="G108" s="282"/>
      <c r="H108" s="269"/>
      <c r="I108" s="278"/>
      <c r="J108" s="278"/>
      <c r="K108" s="269"/>
      <c r="L108" s="270"/>
      <c r="M108" s="5"/>
      <c r="N108" s="277"/>
      <c r="O108" s="277"/>
      <c r="P108" s="274"/>
      <c r="Q108" s="275"/>
    </row>
    <row r="109" spans="1:17" ht="41.4">
      <c r="A109" s="23" t="s">
        <v>280</v>
      </c>
      <c r="B109" s="3" t="s">
        <v>281</v>
      </c>
      <c r="C109" s="3" t="s">
        <v>411</v>
      </c>
      <c r="D109" s="6" t="s">
        <v>18</v>
      </c>
      <c r="E109" s="3">
        <v>1</v>
      </c>
      <c r="F109" s="4" t="s">
        <v>412</v>
      </c>
      <c r="G109" s="22" t="s">
        <v>413</v>
      </c>
      <c r="H109" s="11" t="s">
        <v>21</v>
      </c>
      <c r="I109" s="15" t="s">
        <v>21</v>
      </c>
      <c r="J109" s="15" t="s">
        <v>414</v>
      </c>
      <c r="K109" s="11" t="s">
        <v>21</v>
      </c>
      <c r="L109" s="5" t="s">
        <v>23</v>
      </c>
      <c r="M109" s="5"/>
      <c r="N109" s="277"/>
      <c r="O109" s="277" t="s">
        <v>2512</v>
      </c>
      <c r="P109" s="202" t="s">
        <v>2592</v>
      </c>
      <c r="Q109" s="201">
        <v>105</v>
      </c>
    </row>
    <row r="110" spans="1:17" ht="55.2">
      <c r="A110" s="23" t="s">
        <v>280</v>
      </c>
      <c r="B110" s="3" t="s">
        <v>281</v>
      </c>
      <c r="C110" s="3" t="s">
        <v>411</v>
      </c>
      <c r="D110" s="7" t="s">
        <v>24</v>
      </c>
      <c r="E110" s="3">
        <v>2</v>
      </c>
      <c r="F110" s="4" t="s">
        <v>415</v>
      </c>
      <c r="G110" s="22" t="s">
        <v>416</v>
      </c>
      <c r="H110" s="11" t="s">
        <v>55</v>
      </c>
      <c r="I110" s="15" t="s">
        <v>417</v>
      </c>
      <c r="J110" s="15" t="s">
        <v>418</v>
      </c>
      <c r="K110" s="5" t="s">
        <v>31</v>
      </c>
      <c r="L110" s="5" t="s">
        <v>31</v>
      </c>
      <c r="M110" s="5">
        <v>1</v>
      </c>
      <c r="N110" s="277" t="s">
        <v>2538</v>
      </c>
      <c r="O110" s="277" t="s">
        <v>2560</v>
      </c>
      <c r="P110" s="202" t="s">
        <v>2592</v>
      </c>
      <c r="Q110" s="201">
        <v>106</v>
      </c>
    </row>
    <row r="111" spans="1:17" ht="41.4">
      <c r="A111" s="23" t="s">
        <v>280</v>
      </c>
      <c r="B111" s="3" t="s">
        <v>281</v>
      </c>
      <c r="C111" s="3" t="s">
        <v>411</v>
      </c>
      <c r="D111" s="7" t="s">
        <v>24</v>
      </c>
      <c r="E111" s="3">
        <v>2</v>
      </c>
      <c r="F111" s="4" t="s">
        <v>419</v>
      </c>
      <c r="G111" s="22" t="s">
        <v>420</v>
      </c>
      <c r="H111" s="11" t="s">
        <v>55</v>
      </c>
      <c r="I111" s="15" t="s">
        <v>421</v>
      </c>
      <c r="J111" s="15" t="s">
        <v>422</v>
      </c>
      <c r="K111" s="5" t="s">
        <v>31</v>
      </c>
      <c r="L111" s="5" t="s">
        <v>31</v>
      </c>
      <c r="M111" s="5">
        <v>1</v>
      </c>
      <c r="N111" s="277"/>
      <c r="O111" s="277"/>
      <c r="P111" s="202" t="s">
        <v>2592</v>
      </c>
      <c r="Q111" s="201">
        <v>107</v>
      </c>
    </row>
    <row r="112" spans="1:17" hidden="1">
      <c r="A112" s="283"/>
      <c r="B112" s="266"/>
      <c r="C112" s="266"/>
      <c r="D112" s="267"/>
      <c r="E112" s="266"/>
      <c r="F112" s="268"/>
      <c r="G112" s="282"/>
      <c r="H112" s="269"/>
      <c r="I112" s="278"/>
      <c r="J112" s="278"/>
      <c r="K112" s="269"/>
      <c r="L112" s="270"/>
      <c r="M112" s="5"/>
      <c r="N112" s="277"/>
      <c r="O112" s="277"/>
      <c r="P112" s="274"/>
      <c r="Q112" s="275"/>
    </row>
    <row r="113" spans="1:17" ht="82.8">
      <c r="A113" s="23" t="s">
        <v>280</v>
      </c>
      <c r="B113" s="3" t="s">
        <v>281</v>
      </c>
      <c r="C113" s="3" t="s">
        <v>411</v>
      </c>
      <c r="D113" s="7" t="s">
        <v>24</v>
      </c>
      <c r="E113" s="3">
        <v>2</v>
      </c>
      <c r="F113" s="4" t="s">
        <v>426</v>
      </c>
      <c r="G113" s="22" t="s">
        <v>427</v>
      </c>
      <c r="H113" s="11" t="s">
        <v>21</v>
      </c>
      <c r="I113" s="15" t="s">
        <v>21</v>
      </c>
      <c r="J113" s="15" t="s">
        <v>428</v>
      </c>
      <c r="K113" s="11" t="s">
        <v>21</v>
      </c>
      <c r="L113" s="5" t="s">
        <v>31</v>
      </c>
      <c r="M113" s="5"/>
      <c r="N113" s="277"/>
      <c r="O113" s="277"/>
      <c r="P113" s="202" t="s">
        <v>2646</v>
      </c>
      <c r="Q113" s="201">
        <v>109</v>
      </c>
    </row>
    <row r="114" spans="1:17" hidden="1">
      <c r="A114" s="283"/>
      <c r="B114" s="266"/>
      <c r="C114" s="266"/>
      <c r="D114" s="267"/>
      <c r="E114" s="266"/>
      <c r="F114" s="268"/>
      <c r="G114" s="282"/>
      <c r="H114" s="269"/>
      <c r="I114" s="278"/>
      <c r="J114" s="278"/>
      <c r="K114" s="269"/>
      <c r="L114" s="270"/>
      <c r="M114" s="5"/>
      <c r="N114" s="277"/>
      <c r="O114" s="277"/>
      <c r="P114" s="274"/>
      <c r="Q114" s="275"/>
    </row>
    <row r="115" spans="1:17" hidden="1">
      <c r="A115" s="283"/>
      <c r="B115" s="266"/>
      <c r="C115" s="266"/>
      <c r="D115" s="267"/>
      <c r="E115" s="266"/>
      <c r="F115" s="268"/>
      <c r="G115" s="282"/>
      <c r="H115" s="269"/>
      <c r="I115" s="278"/>
      <c r="J115" s="278"/>
      <c r="K115" s="270"/>
      <c r="L115" s="270"/>
      <c r="M115" s="5">
        <v>1</v>
      </c>
      <c r="N115" s="277"/>
      <c r="O115" s="277"/>
      <c r="P115" s="274"/>
      <c r="Q115" s="275"/>
    </row>
    <row r="116" spans="1:17" hidden="1">
      <c r="A116" s="283"/>
      <c r="B116" s="266"/>
      <c r="C116" s="266"/>
      <c r="D116" s="267"/>
      <c r="E116" s="266"/>
      <c r="F116" s="268"/>
      <c r="G116" s="282"/>
      <c r="H116" s="269"/>
      <c r="I116" s="278"/>
      <c r="J116" s="278"/>
      <c r="K116" s="270"/>
      <c r="L116" s="270"/>
      <c r="M116" s="5">
        <v>1</v>
      </c>
      <c r="N116" s="277"/>
      <c r="O116" s="277"/>
      <c r="P116" s="274"/>
      <c r="Q116" s="275"/>
    </row>
    <row r="117" spans="1:17" hidden="1">
      <c r="A117" s="283"/>
      <c r="B117" s="266"/>
      <c r="C117" s="266"/>
      <c r="D117" s="289"/>
      <c r="E117" s="266"/>
      <c r="F117" s="268"/>
      <c r="G117" s="282"/>
      <c r="H117" s="269"/>
      <c r="I117" s="278"/>
      <c r="J117" s="278"/>
      <c r="K117" s="269"/>
      <c r="L117" s="270"/>
      <c r="M117" s="5"/>
      <c r="N117" s="277"/>
      <c r="O117" s="277"/>
      <c r="P117" s="274"/>
      <c r="Q117" s="275"/>
    </row>
    <row r="118" spans="1:17" hidden="1">
      <c r="A118" s="283"/>
      <c r="B118" s="266"/>
      <c r="C118" s="266"/>
      <c r="D118" s="267"/>
      <c r="E118" s="266"/>
      <c r="F118" s="268"/>
      <c r="G118" s="282"/>
      <c r="H118" s="269"/>
      <c r="I118" s="278"/>
      <c r="J118" s="278"/>
      <c r="K118" s="269"/>
      <c r="L118" s="270"/>
      <c r="M118" s="5"/>
      <c r="N118" s="277"/>
      <c r="O118" s="277"/>
      <c r="P118" s="274"/>
      <c r="Q118" s="275"/>
    </row>
    <row r="119" spans="1:17" ht="82.8">
      <c r="A119" s="3" t="s">
        <v>443</v>
      </c>
      <c r="B119" s="3" t="s">
        <v>444</v>
      </c>
      <c r="C119" s="3" t="s">
        <v>445</v>
      </c>
      <c r="D119" s="6" t="s">
        <v>18</v>
      </c>
      <c r="E119" s="3">
        <v>1</v>
      </c>
      <c r="F119" s="22" t="s">
        <v>446</v>
      </c>
      <c r="G119" s="22" t="s">
        <v>447</v>
      </c>
      <c r="H119" s="11" t="s">
        <v>21</v>
      </c>
      <c r="I119" s="15" t="s">
        <v>21</v>
      </c>
      <c r="J119" s="15" t="s">
        <v>448</v>
      </c>
      <c r="K119" s="11" t="s">
        <v>21</v>
      </c>
      <c r="L119" s="5" t="s">
        <v>23</v>
      </c>
      <c r="M119" s="5"/>
      <c r="N119" s="277"/>
      <c r="O119" s="277" t="s">
        <v>2503</v>
      </c>
      <c r="P119" s="202" t="s">
        <v>2645</v>
      </c>
      <c r="Q119" s="201">
        <v>115</v>
      </c>
    </row>
    <row r="120" spans="1:17" ht="110.4">
      <c r="A120" s="3" t="s">
        <v>443</v>
      </c>
      <c r="B120" s="3" t="s">
        <v>444</v>
      </c>
      <c r="C120" s="3" t="s">
        <v>445</v>
      </c>
      <c r="D120" s="7" t="s">
        <v>24</v>
      </c>
      <c r="E120" s="3">
        <v>2</v>
      </c>
      <c r="F120" s="22" t="s">
        <v>449</v>
      </c>
      <c r="G120" s="22" t="s">
        <v>450</v>
      </c>
      <c r="H120" s="11" t="s">
        <v>27</v>
      </c>
      <c r="I120" s="15" t="s">
        <v>451</v>
      </c>
      <c r="J120" s="15" t="s">
        <v>452</v>
      </c>
      <c r="K120" s="5" t="s">
        <v>23</v>
      </c>
      <c r="L120" s="5" t="s">
        <v>23</v>
      </c>
      <c r="M120" s="5"/>
      <c r="N120" s="277"/>
      <c r="O120" s="277" t="s">
        <v>2504</v>
      </c>
      <c r="P120" s="202" t="s">
        <v>2643</v>
      </c>
      <c r="Q120" s="201">
        <v>116</v>
      </c>
    </row>
    <row r="121" spans="1:17" hidden="1">
      <c r="A121" s="266"/>
      <c r="B121" s="266"/>
      <c r="C121" s="266"/>
      <c r="D121" s="267"/>
      <c r="E121" s="266"/>
      <c r="F121" s="282"/>
      <c r="G121" s="282"/>
      <c r="H121" s="269"/>
      <c r="I121" s="270"/>
      <c r="J121" s="278"/>
      <c r="K121" s="269"/>
      <c r="L121" s="270"/>
      <c r="M121" s="5"/>
      <c r="N121" s="277"/>
      <c r="O121" s="277"/>
      <c r="P121" s="274"/>
      <c r="Q121" s="275"/>
    </row>
    <row r="122" spans="1:17" ht="124.5" hidden="1" customHeight="1">
      <c r="A122" s="266"/>
      <c r="B122" s="266"/>
      <c r="C122" s="266"/>
      <c r="D122" s="267"/>
      <c r="E122" s="266"/>
      <c r="F122" s="282"/>
      <c r="G122" s="282"/>
      <c r="H122" s="269"/>
      <c r="I122" s="270"/>
      <c r="J122" s="270"/>
      <c r="K122" s="269"/>
      <c r="L122" s="270"/>
      <c r="M122" s="5"/>
      <c r="N122" s="277"/>
      <c r="O122" s="277"/>
      <c r="P122" s="274"/>
      <c r="Q122" s="275"/>
    </row>
    <row r="123" spans="1:17" ht="111" hidden="1" customHeight="1">
      <c r="A123" s="266"/>
      <c r="B123" s="266"/>
      <c r="C123" s="266"/>
      <c r="D123" s="267"/>
      <c r="E123" s="266"/>
      <c r="F123" s="282"/>
      <c r="G123" s="282"/>
      <c r="H123" s="269"/>
      <c r="I123" s="278"/>
      <c r="J123" s="278"/>
      <c r="K123" s="269"/>
      <c r="L123" s="270"/>
      <c r="M123" s="5"/>
      <c r="N123" s="277"/>
      <c r="O123" s="277"/>
      <c r="P123" s="274"/>
      <c r="Q123" s="275"/>
    </row>
    <row r="124" spans="1:17" hidden="1">
      <c r="A124" s="266"/>
      <c r="B124" s="266"/>
      <c r="C124" s="266"/>
      <c r="D124" s="289"/>
      <c r="E124" s="266"/>
      <c r="F124" s="268"/>
      <c r="G124" s="282"/>
      <c r="H124" s="269"/>
      <c r="I124" s="278"/>
      <c r="J124" s="278"/>
      <c r="K124" s="269"/>
      <c r="L124" s="270"/>
      <c r="M124" s="5"/>
      <c r="N124" s="277"/>
      <c r="O124" s="277"/>
      <c r="P124" s="290"/>
      <c r="Q124" s="275"/>
    </row>
    <row r="125" spans="1:17" hidden="1">
      <c r="A125" s="266"/>
      <c r="B125" s="266"/>
      <c r="C125" s="266"/>
      <c r="D125" s="267"/>
      <c r="E125" s="266"/>
      <c r="F125" s="268"/>
      <c r="G125" s="282"/>
      <c r="H125" s="269"/>
      <c r="I125" s="278"/>
      <c r="J125" s="278"/>
      <c r="K125" s="269"/>
      <c r="L125" s="270"/>
      <c r="M125" s="5"/>
      <c r="N125" s="277"/>
      <c r="O125" s="277"/>
      <c r="P125" s="290"/>
      <c r="Q125" s="275"/>
    </row>
    <row r="126" spans="1:17" ht="55.95" customHeight="1">
      <c r="A126" s="3" t="s">
        <v>443</v>
      </c>
      <c r="B126" s="3" t="s">
        <v>444</v>
      </c>
      <c r="C126" s="3" t="s">
        <v>468</v>
      </c>
      <c r="D126" s="6" t="s">
        <v>18</v>
      </c>
      <c r="E126" s="3">
        <v>1</v>
      </c>
      <c r="F126" s="4" t="s">
        <v>469</v>
      </c>
      <c r="G126" s="22" t="s">
        <v>470</v>
      </c>
      <c r="H126" s="11" t="s">
        <v>21</v>
      </c>
      <c r="I126" s="15" t="s">
        <v>21</v>
      </c>
      <c r="J126" s="15" t="s">
        <v>471</v>
      </c>
      <c r="K126" s="11" t="s">
        <v>21</v>
      </c>
      <c r="L126" s="5" t="s">
        <v>23</v>
      </c>
      <c r="M126" s="5"/>
      <c r="N126" s="277"/>
      <c r="O126" s="277" t="s">
        <v>2504</v>
      </c>
      <c r="P126" s="203" t="s">
        <v>2645</v>
      </c>
      <c r="Q126" s="201">
        <v>122</v>
      </c>
    </row>
    <row r="127" spans="1:17" ht="61.05" customHeight="1">
      <c r="A127" s="3" t="s">
        <v>443</v>
      </c>
      <c r="B127" s="3" t="s">
        <v>444</v>
      </c>
      <c r="C127" s="3" t="s">
        <v>468</v>
      </c>
      <c r="D127" s="6" t="s">
        <v>18</v>
      </c>
      <c r="E127" s="3">
        <v>1</v>
      </c>
      <c r="F127" s="4" t="s">
        <v>472</v>
      </c>
      <c r="G127" s="22" t="s">
        <v>473</v>
      </c>
      <c r="H127" s="11" t="s">
        <v>21</v>
      </c>
      <c r="I127" s="15" t="s">
        <v>21</v>
      </c>
      <c r="J127" s="15" t="s">
        <v>474</v>
      </c>
      <c r="K127" s="11" t="s">
        <v>21</v>
      </c>
      <c r="L127" s="5" t="s">
        <v>31</v>
      </c>
      <c r="M127" s="5"/>
      <c r="N127" s="277" t="s">
        <v>2541</v>
      </c>
      <c r="O127" s="277" t="s">
        <v>2542</v>
      </c>
      <c r="P127" s="203" t="s">
        <v>2645</v>
      </c>
      <c r="Q127" s="201">
        <v>123</v>
      </c>
    </row>
    <row r="128" spans="1:17" ht="70.05" customHeight="1">
      <c r="A128" s="3" t="s">
        <v>443</v>
      </c>
      <c r="B128" s="3" t="s">
        <v>444</v>
      </c>
      <c r="C128" s="3" t="s">
        <v>468</v>
      </c>
      <c r="D128" s="6" t="s">
        <v>18</v>
      </c>
      <c r="E128" s="3">
        <v>1</v>
      </c>
      <c r="F128" s="4" t="s">
        <v>475</v>
      </c>
      <c r="G128" s="22" t="s">
        <v>476</v>
      </c>
      <c r="H128" s="11" t="s">
        <v>21</v>
      </c>
      <c r="I128" s="15" t="s">
        <v>21</v>
      </c>
      <c r="J128" s="15" t="s">
        <v>477</v>
      </c>
      <c r="K128" s="11" t="s">
        <v>21</v>
      </c>
      <c r="L128" s="5" t="s">
        <v>31</v>
      </c>
      <c r="M128" s="5"/>
      <c r="N128" s="277" t="s">
        <v>2541</v>
      </c>
      <c r="O128" s="277" t="s">
        <v>2542</v>
      </c>
      <c r="P128" s="203" t="s">
        <v>2645</v>
      </c>
      <c r="Q128" s="201">
        <v>124</v>
      </c>
    </row>
    <row r="129" spans="1:17" ht="69">
      <c r="A129" s="3" t="s">
        <v>443</v>
      </c>
      <c r="B129" s="3" t="s">
        <v>444</v>
      </c>
      <c r="C129" s="3" t="s">
        <v>468</v>
      </c>
      <c r="D129" s="7" t="s">
        <v>24</v>
      </c>
      <c r="E129" s="3">
        <v>2</v>
      </c>
      <c r="F129" s="22" t="s">
        <v>478</v>
      </c>
      <c r="G129" s="22" t="s">
        <v>479</v>
      </c>
      <c r="H129" s="11" t="s">
        <v>27</v>
      </c>
      <c r="I129" s="15" t="s">
        <v>480</v>
      </c>
      <c r="J129" s="15" t="s">
        <v>481</v>
      </c>
      <c r="K129" s="5" t="s">
        <v>31</v>
      </c>
      <c r="L129" s="5" t="s">
        <v>31</v>
      </c>
      <c r="M129" s="5"/>
      <c r="N129" s="277"/>
      <c r="O129" s="277"/>
      <c r="P129" s="203" t="s">
        <v>2644</v>
      </c>
      <c r="Q129" s="201">
        <v>125</v>
      </c>
    </row>
    <row r="130" spans="1:17" ht="151.80000000000001">
      <c r="A130" s="3" t="s">
        <v>443</v>
      </c>
      <c r="B130" s="3" t="s">
        <v>444</v>
      </c>
      <c r="C130" s="3" t="s">
        <v>468</v>
      </c>
      <c r="D130" s="7" t="s">
        <v>24</v>
      </c>
      <c r="E130" s="3">
        <v>2</v>
      </c>
      <c r="F130" s="4" t="s">
        <v>482</v>
      </c>
      <c r="G130" s="4" t="s">
        <v>483</v>
      </c>
      <c r="H130" s="11" t="s">
        <v>55</v>
      </c>
      <c r="I130" s="15" t="s">
        <v>484</v>
      </c>
      <c r="J130" s="15" t="s">
        <v>485</v>
      </c>
      <c r="K130" s="5" t="s">
        <v>31</v>
      </c>
      <c r="L130" s="5" t="s">
        <v>31</v>
      </c>
      <c r="M130" s="5"/>
      <c r="N130" s="277"/>
      <c r="O130" s="277"/>
      <c r="P130" s="203" t="s">
        <v>2645</v>
      </c>
      <c r="Q130" s="201">
        <v>126</v>
      </c>
    </row>
    <row r="131" spans="1:17" ht="207">
      <c r="A131" s="3" t="s">
        <v>443</v>
      </c>
      <c r="B131" s="3" t="s">
        <v>444</v>
      </c>
      <c r="C131" s="3" t="s">
        <v>468</v>
      </c>
      <c r="D131" s="7" t="s">
        <v>24</v>
      </c>
      <c r="E131" s="3">
        <v>2</v>
      </c>
      <c r="F131" s="4" t="s">
        <v>486</v>
      </c>
      <c r="G131" s="4" t="s">
        <v>487</v>
      </c>
      <c r="H131" s="11" t="s">
        <v>55</v>
      </c>
      <c r="I131" s="15" t="s">
        <v>488</v>
      </c>
      <c r="J131" s="15" t="s">
        <v>489</v>
      </c>
      <c r="K131" s="5" t="s">
        <v>31</v>
      </c>
      <c r="L131" s="5" t="s">
        <v>31</v>
      </c>
      <c r="M131" s="5">
        <v>1</v>
      </c>
      <c r="N131" s="277"/>
      <c r="O131" s="277"/>
      <c r="P131" s="203" t="s">
        <v>2645</v>
      </c>
      <c r="Q131" s="201">
        <v>127</v>
      </c>
    </row>
    <row r="132" spans="1:17" ht="331.2">
      <c r="A132" s="3" t="s">
        <v>443</v>
      </c>
      <c r="B132" s="3" t="s">
        <v>444</v>
      </c>
      <c r="C132" s="3" t="s">
        <v>468</v>
      </c>
      <c r="D132" s="7" t="s">
        <v>24</v>
      </c>
      <c r="E132" s="3">
        <v>2</v>
      </c>
      <c r="F132" s="4" t="s">
        <v>490</v>
      </c>
      <c r="G132" s="4" t="s">
        <v>491</v>
      </c>
      <c r="H132" s="11" t="s">
        <v>55</v>
      </c>
      <c r="I132" s="15" t="s">
        <v>492</v>
      </c>
      <c r="J132" s="15" t="s">
        <v>2482</v>
      </c>
      <c r="K132" s="5" t="s">
        <v>30</v>
      </c>
      <c r="L132" s="5" t="s">
        <v>2572</v>
      </c>
      <c r="M132" s="5">
        <v>1</v>
      </c>
      <c r="N132" s="277" t="s">
        <v>2580</v>
      </c>
      <c r="O132" s="277"/>
      <c r="P132" s="203" t="s">
        <v>2645</v>
      </c>
      <c r="Q132" s="201">
        <v>128</v>
      </c>
    </row>
    <row r="133" spans="1:17" ht="151.80000000000001">
      <c r="A133" s="3" t="s">
        <v>443</v>
      </c>
      <c r="B133" s="3" t="s">
        <v>444</v>
      </c>
      <c r="C133" s="3" t="s">
        <v>468</v>
      </c>
      <c r="D133" s="8" t="s">
        <v>40</v>
      </c>
      <c r="E133" s="3">
        <v>3</v>
      </c>
      <c r="F133" s="4" t="s">
        <v>493</v>
      </c>
      <c r="G133" s="4" t="s">
        <v>494</v>
      </c>
      <c r="H133" s="11" t="s">
        <v>27</v>
      </c>
      <c r="I133" s="15" t="s">
        <v>495</v>
      </c>
      <c r="J133" s="15" t="s">
        <v>496</v>
      </c>
      <c r="K133" s="5" t="s">
        <v>31</v>
      </c>
      <c r="L133" s="5" t="s">
        <v>31</v>
      </c>
      <c r="M133" s="5"/>
      <c r="N133" s="277"/>
      <c r="O133" s="277"/>
      <c r="P133" s="203" t="s">
        <v>2644</v>
      </c>
      <c r="Q133" s="201">
        <v>129</v>
      </c>
    </row>
    <row r="134" spans="1:17" hidden="1">
      <c r="A134" s="266"/>
      <c r="B134" s="266"/>
      <c r="C134" s="266"/>
      <c r="D134" s="267"/>
      <c r="E134" s="266"/>
      <c r="F134" s="268"/>
      <c r="G134" s="268"/>
      <c r="H134" s="269"/>
      <c r="I134" s="278"/>
      <c r="J134" s="278"/>
      <c r="K134" s="270"/>
      <c r="L134" s="270"/>
      <c r="M134" s="5">
        <v>1</v>
      </c>
      <c r="N134" s="277"/>
      <c r="O134" s="277"/>
      <c r="P134" s="290"/>
      <c r="Q134" s="275"/>
    </row>
    <row r="135" spans="1:17" hidden="1">
      <c r="A135" s="266"/>
      <c r="B135" s="266"/>
      <c r="C135" s="266"/>
      <c r="D135" s="267"/>
      <c r="E135" s="266"/>
      <c r="F135" s="268"/>
      <c r="G135" s="268"/>
      <c r="H135" s="269"/>
      <c r="I135" s="278"/>
      <c r="J135" s="278"/>
      <c r="K135" s="270"/>
      <c r="L135" s="270"/>
      <c r="M135" s="5"/>
      <c r="N135" s="277"/>
      <c r="O135" s="277"/>
      <c r="P135" s="290"/>
      <c r="Q135" s="275"/>
    </row>
    <row r="136" spans="1:17" hidden="1">
      <c r="A136" s="266"/>
      <c r="B136" s="266"/>
      <c r="C136" s="266"/>
      <c r="D136" s="267"/>
      <c r="E136" s="266"/>
      <c r="F136" s="268"/>
      <c r="G136" s="268"/>
      <c r="H136" s="269"/>
      <c r="I136" s="278"/>
      <c r="J136" s="278"/>
      <c r="K136" s="270"/>
      <c r="L136" s="270"/>
      <c r="M136" s="5"/>
      <c r="N136" s="277"/>
      <c r="O136" s="277"/>
      <c r="P136" s="290"/>
      <c r="Q136" s="275"/>
    </row>
    <row r="137" spans="1:17" hidden="1">
      <c r="A137" s="266"/>
      <c r="B137" s="266"/>
      <c r="C137" s="266"/>
      <c r="D137" s="267"/>
      <c r="E137" s="266"/>
      <c r="F137" s="268"/>
      <c r="G137" s="268"/>
      <c r="H137" s="269"/>
      <c r="I137" s="278"/>
      <c r="J137" s="278"/>
      <c r="K137" s="269"/>
      <c r="L137" s="270"/>
      <c r="M137" s="5"/>
      <c r="N137" s="277"/>
      <c r="O137" s="277"/>
      <c r="P137" s="290"/>
      <c r="Q137" s="275"/>
    </row>
    <row r="138" spans="1:17" hidden="1">
      <c r="A138" s="266"/>
      <c r="B138" s="266"/>
      <c r="C138" s="266"/>
      <c r="D138" s="289"/>
      <c r="E138" s="266"/>
      <c r="F138" s="268"/>
      <c r="G138" s="268"/>
      <c r="H138" s="269"/>
      <c r="I138" s="278"/>
      <c r="J138" s="278"/>
      <c r="K138" s="269"/>
      <c r="L138" s="270"/>
      <c r="M138" s="5"/>
      <c r="N138" s="277"/>
      <c r="O138" s="277"/>
      <c r="P138" s="290"/>
      <c r="Q138" s="275"/>
    </row>
    <row r="139" spans="1:17" ht="53.55" hidden="1" customHeight="1">
      <c r="A139" s="266"/>
      <c r="B139" s="266"/>
      <c r="C139" s="266"/>
      <c r="D139" s="289"/>
      <c r="E139" s="266"/>
      <c r="F139" s="268"/>
      <c r="G139" s="268"/>
      <c r="H139" s="269"/>
      <c r="I139" s="278"/>
      <c r="J139" s="278"/>
      <c r="K139" s="269"/>
      <c r="L139" s="270"/>
      <c r="M139" s="5"/>
      <c r="N139" s="277"/>
      <c r="O139" s="277"/>
      <c r="P139" s="290"/>
      <c r="Q139" s="275"/>
    </row>
    <row r="140" spans="1:17" hidden="1">
      <c r="A140" s="266"/>
      <c r="B140" s="266"/>
      <c r="C140" s="266"/>
      <c r="D140" s="289"/>
      <c r="E140" s="266"/>
      <c r="F140" s="268"/>
      <c r="G140" s="268"/>
      <c r="H140" s="269"/>
      <c r="I140" s="278"/>
      <c r="J140" s="278"/>
      <c r="K140" s="270"/>
      <c r="L140" s="270"/>
      <c r="M140" s="5"/>
      <c r="N140" s="277"/>
      <c r="O140" s="277"/>
      <c r="P140" s="290"/>
      <c r="Q140" s="275"/>
    </row>
    <row r="141" spans="1:17" hidden="1">
      <c r="A141" s="266"/>
      <c r="B141" s="266"/>
      <c r="C141" s="266"/>
      <c r="D141" s="267"/>
      <c r="E141" s="266"/>
      <c r="F141" s="282"/>
      <c r="G141" s="282"/>
      <c r="H141" s="269"/>
      <c r="I141" s="278"/>
      <c r="J141" s="278"/>
      <c r="K141" s="269"/>
      <c r="L141" s="270"/>
      <c r="M141" s="5"/>
      <c r="N141" s="277"/>
      <c r="O141" s="277"/>
      <c r="P141" s="290"/>
      <c r="Q141" s="275"/>
    </row>
    <row r="142" spans="1:17" hidden="1">
      <c r="A142" s="266"/>
      <c r="B142" s="266"/>
      <c r="C142" s="266"/>
      <c r="D142" s="267"/>
      <c r="E142" s="266"/>
      <c r="F142" s="282"/>
      <c r="G142" s="282"/>
      <c r="H142" s="269"/>
      <c r="I142" s="278"/>
      <c r="J142" s="278"/>
      <c r="K142" s="269"/>
      <c r="L142" s="270"/>
      <c r="M142" s="5"/>
      <c r="N142" s="277"/>
      <c r="O142" s="277"/>
      <c r="P142" s="290"/>
      <c r="Q142" s="275"/>
    </row>
    <row r="143" spans="1:17" ht="61.05" hidden="1" customHeight="1">
      <c r="A143" s="266"/>
      <c r="B143" s="266"/>
      <c r="C143" s="266"/>
      <c r="D143" s="267"/>
      <c r="E143" s="266"/>
      <c r="F143" s="282"/>
      <c r="G143" s="282"/>
      <c r="H143" s="269"/>
      <c r="I143" s="278"/>
      <c r="J143" s="278"/>
      <c r="K143" s="269"/>
      <c r="L143" s="270"/>
      <c r="M143" s="5"/>
      <c r="N143" s="277"/>
      <c r="O143" s="277"/>
      <c r="P143" s="290"/>
      <c r="Q143" s="275"/>
    </row>
    <row r="144" spans="1:17" ht="69.45" customHeight="1">
      <c r="A144" s="3" t="s">
        <v>443</v>
      </c>
      <c r="B144" s="3" t="s">
        <v>444</v>
      </c>
      <c r="C144" s="3" t="s">
        <v>530</v>
      </c>
      <c r="D144" s="6" t="s">
        <v>18</v>
      </c>
      <c r="E144" s="3">
        <v>1</v>
      </c>
      <c r="F144" s="22" t="s">
        <v>531</v>
      </c>
      <c r="G144" s="22" t="s">
        <v>532</v>
      </c>
      <c r="H144" s="11" t="s">
        <v>21</v>
      </c>
      <c r="I144" s="15" t="s">
        <v>21</v>
      </c>
      <c r="J144" s="15" t="s">
        <v>533</v>
      </c>
      <c r="K144" s="11" t="s">
        <v>21</v>
      </c>
      <c r="L144" s="5" t="s">
        <v>31</v>
      </c>
      <c r="M144" s="5"/>
      <c r="N144" s="277" t="s">
        <v>2503</v>
      </c>
      <c r="O144" s="277" t="s">
        <v>2543</v>
      </c>
      <c r="P144" s="203" t="s">
        <v>2645</v>
      </c>
      <c r="Q144" s="201">
        <v>140</v>
      </c>
    </row>
    <row r="145" spans="1:17" ht="77.55" customHeight="1">
      <c r="A145" s="3" t="s">
        <v>443</v>
      </c>
      <c r="B145" s="3" t="s">
        <v>444</v>
      </c>
      <c r="C145" s="3" t="s">
        <v>530</v>
      </c>
      <c r="D145" s="6" t="s">
        <v>18</v>
      </c>
      <c r="E145" s="3">
        <v>1</v>
      </c>
      <c r="F145" s="22" t="s">
        <v>534</v>
      </c>
      <c r="G145" s="22" t="s">
        <v>535</v>
      </c>
      <c r="H145" s="11" t="s">
        <v>21</v>
      </c>
      <c r="I145" s="15" t="s">
        <v>21</v>
      </c>
      <c r="J145" s="15" t="s">
        <v>536</v>
      </c>
      <c r="K145" s="11" t="s">
        <v>21</v>
      </c>
      <c r="L145" s="5" t="s">
        <v>31</v>
      </c>
      <c r="M145" s="5"/>
      <c r="N145" s="277" t="s">
        <v>2503</v>
      </c>
      <c r="O145" s="277" t="s">
        <v>2543</v>
      </c>
      <c r="P145" s="203" t="s">
        <v>2645</v>
      </c>
      <c r="Q145" s="201">
        <v>141</v>
      </c>
    </row>
    <row r="146" spans="1:17" ht="55.2">
      <c r="A146" s="3" t="s">
        <v>443</v>
      </c>
      <c r="B146" s="3" t="s">
        <v>444</v>
      </c>
      <c r="C146" s="3" t="s">
        <v>530</v>
      </c>
      <c r="D146" s="7" t="s">
        <v>24</v>
      </c>
      <c r="E146" s="3">
        <v>2</v>
      </c>
      <c r="F146" s="22" t="s">
        <v>537</v>
      </c>
      <c r="G146" s="22" t="s">
        <v>538</v>
      </c>
      <c r="H146" s="11" t="s">
        <v>55</v>
      </c>
      <c r="I146" s="15" t="s">
        <v>488</v>
      </c>
      <c r="J146" s="15" t="s">
        <v>539</v>
      </c>
      <c r="K146" s="5" t="s">
        <v>31</v>
      </c>
      <c r="L146" s="5" t="s">
        <v>31</v>
      </c>
      <c r="M146" s="5">
        <v>1</v>
      </c>
      <c r="N146" s="277"/>
      <c r="O146" s="277"/>
      <c r="P146" s="203" t="s">
        <v>2645</v>
      </c>
      <c r="Q146" s="201">
        <v>142</v>
      </c>
    </row>
    <row r="147" spans="1:17" ht="63.45" customHeight="1">
      <c r="A147" s="3" t="s">
        <v>443</v>
      </c>
      <c r="B147" s="3" t="s">
        <v>444</v>
      </c>
      <c r="C147" s="3" t="s">
        <v>530</v>
      </c>
      <c r="D147" s="7" t="s">
        <v>24</v>
      </c>
      <c r="E147" s="3">
        <v>2</v>
      </c>
      <c r="F147" s="22" t="s">
        <v>540</v>
      </c>
      <c r="G147" s="22" t="s">
        <v>541</v>
      </c>
      <c r="H147" s="11" t="s">
        <v>21</v>
      </c>
      <c r="I147" s="15" t="s">
        <v>21</v>
      </c>
      <c r="J147" s="15" t="s">
        <v>542</v>
      </c>
      <c r="K147" s="11" t="s">
        <v>21</v>
      </c>
      <c r="L147" s="5" t="s">
        <v>31</v>
      </c>
      <c r="M147" s="5"/>
      <c r="N147" s="277"/>
      <c r="O147" s="277"/>
      <c r="P147" s="203" t="s">
        <v>2645</v>
      </c>
      <c r="Q147" s="201">
        <v>143</v>
      </c>
    </row>
    <row r="148" spans="1:17" hidden="1">
      <c r="A148" s="266"/>
      <c r="B148" s="266"/>
      <c r="C148" s="266"/>
      <c r="D148" s="267"/>
      <c r="E148" s="266"/>
      <c r="F148" s="268"/>
      <c r="G148" s="268"/>
      <c r="H148" s="269"/>
      <c r="I148" s="278"/>
      <c r="J148" s="278"/>
      <c r="K148" s="270"/>
      <c r="L148" s="270"/>
      <c r="M148" s="5">
        <v>1</v>
      </c>
      <c r="N148" s="277"/>
      <c r="O148" s="277"/>
      <c r="P148" s="290"/>
      <c r="Q148" s="275"/>
    </row>
    <row r="149" spans="1:17" hidden="1">
      <c r="A149" s="266"/>
      <c r="B149" s="266"/>
      <c r="C149" s="266"/>
      <c r="D149" s="267"/>
      <c r="E149" s="266"/>
      <c r="F149" s="268"/>
      <c r="G149" s="268"/>
      <c r="H149" s="269"/>
      <c r="I149" s="278"/>
      <c r="J149" s="278"/>
      <c r="K149" s="270"/>
      <c r="L149" s="270"/>
      <c r="M149" s="5"/>
      <c r="N149" s="277"/>
      <c r="O149" s="277"/>
      <c r="P149" s="290"/>
      <c r="Q149" s="275"/>
    </row>
    <row r="150" spans="1:17" hidden="1">
      <c r="A150" s="266"/>
      <c r="B150" s="266"/>
      <c r="C150" s="266"/>
      <c r="D150" s="267"/>
      <c r="E150" s="266"/>
      <c r="F150" s="268"/>
      <c r="G150" s="268"/>
      <c r="H150" s="269"/>
      <c r="I150" s="278"/>
      <c r="J150" s="278"/>
      <c r="K150" s="270"/>
      <c r="L150" s="270"/>
      <c r="M150" s="5"/>
      <c r="N150" s="277"/>
      <c r="O150" s="277"/>
      <c r="P150" s="290"/>
      <c r="Q150" s="275"/>
    </row>
    <row r="151" spans="1:17" hidden="1">
      <c r="A151" s="266"/>
      <c r="B151" s="266"/>
      <c r="C151" s="266"/>
      <c r="D151" s="267"/>
      <c r="E151" s="266"/>
      <c r="F151" s="268"/>
      <c r="G151" s="268"/>
      <c r="H151" s="269"/>
      <c r="I151" s="278"/>
      <c r="J151" s="278"/>
      <c r="K151" s="270"/>
      <c r="L151" s="270"/>
      <c r="M151" s="5"/>
      <c r="N151" s="277"/>
      <c r="O151" s="277"/>
      <c r="P151" s="290"/>
      <c r="Q151" s="275"/>
    </row>
    <row r="152" spans="1:17" hidden="1">
      <c r="A152" s="266"/>
      <c r="B152" s="266"/>
      <c r="C152" s="266"/>
      <c r="D152" s="289"/>
      <c r="E152" s="266"/>
      <c r="F152" s="268"/>
      <c r="G152" s="268"/>
      <c r="H152" s="269"/>
      <c r="I152" s="278"/>
      <c r="J152" s="278"/>
      <c r="K152" s="270"/>
      <c r="L152" s="270"/>
      <c r="M152" s="5"/>
      <c r="N152" s="277"/>
      <c r="O152" s="277"/>
      <c r="P152" s="290"/>
      <c r="Q152" s="275"/>
    </row>
    <row r="153" spans="1:17" ht="118.95" hidden="1" customHeight="1">
      <c r="A153" s="266"/>
      <c r="B153" s="266"/>
      <c r="C153" s="266"/>
      <c r="D153" s="267"/>
      <c r="E153" s="266"/>
      <c r="F153" s="268"/>
      <c r="G153" s="268"/>
      <c r="H153" s="269"/>
      <c r="I153" s="278"/>
      <c r="J153" s="278"/>
      <c r="K153" s="269"/>
      <c r="L153" s="270"/>
      <c r="M153" s="5"/>
      <c r="N153" s="277"/>
      <c r="O153" s="277"/>
      <c r="P153" s="290"/>
      <c r="Q153" s="275"/>
    </row>
    <row r="154" spans="1:17" ht="52.05" customHeight="1">
      <c r="A154" s="3" t="s">
        <v>443</v>
      </c>
      <c r="B154" s="3" t="s">
        <v>444</v>
      </c>
      <c r="C154" s="3" t="s">
        <v>565</v>
      </c>
      <c r="D154" s="6" t="s">
        <v>18</v>
      </c>
      <c r="E154" s="3">
        <v>1</v>
      </c>
      <c r="F154" s="22" t="s">
        <v>566</v>
      </c>
      <c r="G154" s="22" t="s">
        <v>567</v>
      </c>
      <c r="H154" s="11" t="s">
        <v>21</v>
      </c>
      <c r="I154" s="15" t="s">
        <v>21</v>
      </c>
      <c r="J154" s="15" t="s">
        <v>568</v>
      </c>
      <c r="K154" s="11" t="s">
        <v>21</v>
      </c>
      <c r="L154" s="5" t="s">
        <v>31</v>
      </c>
      <c r="M154" s="5"/>
      <c r="N154" s="277"/>
      <c r="O154" s="277"/>
      <c r="P154" s="203" t="s">
        <v>2645</v>
      </c>
      <c r="Q154" s="201">
        <v>150</v>
      </c>
    </row>
    <row r="155" spans="1:17" ht="64.95" customHeight="1">
      <c r="A155" s="3" t="s">
        <v>443</v>
      </c>
      <c r="B155" s="3" t="s">
        <v>444</v>
      </c>
      <c r="C155" s="3" t="s">
        <v>565</v>
      </c>
      <c r="D155" s="7" t="s">
        <v>24</v>
      </c>
      <c r="E155" s="3">
        <v>2</v>
      </c>
      <c r="F155" s="22" t="s">
        <v>569</v>
      </c>
      <c r="G155" s="22" t="s">
        <v>570</v>
      </c>
      <c r="H155" s="11" t="s">
        <v>21</v>
      </c>
      <c r="I155" s="15" t="s">
        <v>21</v>
      </c>
      <c r="J155" s="15" t="s">
        <v>571</v>
      </c>
      <c r="K155" s="11" t="s">
        <v>21</v>
      </c>
      <c r="L155" s="5" t="s">
        <v>31</v>
      </c>
      <c r="M155" s="5"/>
      <c r="N155" s="277"/>
      <c r="O155" s="277"/>
      <c r="P155" s="203" t="s">
        <v>2645</v>
      </c>
      <c r="Q155" s="201">
        <v>151</v>
      </c>
    </row>
    <row r="156" spans="1:17" ht="58.05" customHeight="1">
      <c r="A156" s="3" t="s">
        <v>443</v>
      </c>
      <c r="B156" s="3" t="s">
        <v>444</v>
      </c>
      <c r="C156" s="3" t="s">
        <v>565</v>
      </c>
      <c r="D156" s="7" t="s">
        <v>24</v>
      </c>
      <c r="E156" s="3">
        <v>2</v>
      </c>
      <c r="F156" s="22" t="s">
        <v>572</v>
      </c>
      <c r="G156" s="22" t="s">
        <v>573</v>
      </c>
      <c r="H156" s="11" t="s">
        <v>21</v>
      </c>
      <c r="I156" s="15" t="s">
        <v>21</v>
      </c>
      <c r="J156" s="15" t="s">
        <v>574</v>
      </c>
      <c r="K156" s="11" t="s">
        <v>21</v>
      </c>
      <c r="L156" s="5" t="s">
        <v>31</v>
      </c>
      <c r="M156" s="5"/>
      <c r="N156" s="277"/>
      <c r="O156" s="277"/>
      <c r="P156" s="203" t="s">
        <v>2645</v>
      </c>
      <c r="Q156" s="201">
        <v>152</v>
      </c>
    </row>
    <row r="157" spans="1:17" ht="53.55" customHeight="1">
      <c r="A157" s="3" t="s">
        <v>443</v>
      </c>
      <c r="B157" s="3" t="s">
        <v>444</v>
      </c>
      <c r="C157" s="3" t="s">
        <v>565</v>
      </c>
      <c r="D157" s="7" t="s">
        <v>24</v>
      </c>
      <c r="E157" s="3">
        <v>2</v>
      </c>
      <c r="F157" s="22" t="s">
        <v>575</v>
      </c>
      <c r="G157" s="22" t="s">
        <v>576</v>
      </c>
      <c r="H157" s="11" t="s">
        <v>21</v>
      </c>
      <c r="I157" s="15" t="s">
        <v>21</v>
      </c>
      <c r="J157" s="15" t="s">
        <v>577</v>
      </c>
      <c r="K157" s="11" t="s">
        <v>21</v>
      </c>
      <c r="L157" s="5" t="s">
        <v>31</v>
      </c>
      <c r="M157" s="5"/>
      <c r="N157" s="277" t="s">
        <v>2600</v>
      </c>
      <c r="O157" s="277"/>
      <c r="P157" s="203" t="s">
        <v>2645</v>
      </c>
      <c r="Q157" s="201">
        <v>153</v>
      </c>
    </row>
    <row r="158" spans="1:17" ht="83.55" hidden="1" customHeight="1">
      <c r="A158" s="266"/>
      <c r="B158" s="266"/>
      <c r="C158" s="266"/>
      <c r="D158" s="267"/>
      <c r="E158" s="266"/>
      <c r="F158" s="282"/>
      <c r="G158" s="282"/>
      <c r="H158" s="269"/>
      <c r="I158" s="278"/>
      <c r="J158" s="278"/>
      <c r="K158" s="269"/>
      <c r="L158" s="270"/>
      <c r="M158" s="5"/>
      <c r="N158" s="277"/>
      <c r="O158" s="277"/>
      <c r="P158" s="290"/>
      <c r="Q158" s="275"/>
    </row>
    <row r="159" spans="1:17" ht="94.95" hidden="1" customHeight="1">
      <c r="A159" s="266"/>
      <c r="B159" s="266"/>
      <c r="C159" s="266"/>
      <c r="D159" s="267"/>
      <c r="E159" s="266"/>
      <c r="F159" s="282"/>
      <c r="G159" s="282"/>
      <c r="H159" s="269"/>
      <c r="I159" s="278"/>
      <c r="J159" s="278"/>
      <c r="K159" s="269"/>
      <c r="L159" s="270"/>
      <c r="M159" s="5"/>
      <c r="N159" s="277"/>
      <c r="O159" s="277"/>
      <c r="P159" s="290"/>
      <c r="Q159" s="275"/>
    </row>
    <row r="160" spans="1:17" hidden="1">
      <c r="A160" s="266"/>
      <c r="B160" s="266"/>
      <c r="C160" s="266"/>
      <c r="D160" s="289"/>
      <c r="E160" s="266"/>
      <c r="F160" s="268"/>
      <c r="G160" s="268"/>
      <c r="H160" s="269"/>
      <c r="I160" s="278"/>
      <c r="J160" s="278"/>
      <c r="K160" s="269"/>
      <c r="L160" s="270"/>
      <c r="M160" s="5"/>
      <c r="N160" s="277"/>
      <c r="O160" s="277"/>
      <c r="P160" s="290"/>
      <c r="Q160" s="275"/>
    </row>
    <row r="161" spans="1:18" hidden="1">
      <c r="A161" s="266"/>
      <c r="B161" s="266"/>
      <c r="C161" s="266"/>
      <c r="D161" s="267"/>
      <c r="E161" s="266"/>
      <c r="F161" s="268"/>
      <c r="G161" s="268"/>
      <c r="H161" s="269"/>
      <c r="I161" s="278"/>
      <c r="J161" s="278"/>
      <c r="K161" s="269"/>
      <c r="L161" s="270"/>
      <c r="M161" s="17"/>
      <c r="N161" s="277"/>
      <c r="O161" s="277"/>
      <c r="P161" s="290"/>
      <c r="Q161" s="275"/>
    </row>
    <row r="162" spans="1:18" ht="21" hidden="1">
      <c r="A162" s="266"/>
      <c r="B162" s="266"/>
      <c r="C162" s="266"/>
      <c r="D162" s="267"/>
      <c r="E162" s="266"/>
      <c r="F162" s="268"/>
      <c r="G162" s="282"/>
      <c r="H162" s="269"/>
      <c r="I162" s="278"/>
      <c r="J162" s="278"/>
      <c r="K162" s="269"/>
      <c r="L162" s="270"/>
      <c r="M162" s="5"/>
      <c r="N162" s="277"/>
      <c r="O162" s="281"/>
      <c r="P162" s="274"/>
      <c r="Q162" s="275"/>
    </row>
    <row r="163" spans="1:18" ht="21" hidden="1">
      <c r="A163" s="266"/>
      <c r="B163" s="266"/>
      <c r="C163" s="266"/>
      <c r="D163" s="267"/>
      <c r="E163" s="266"/>
      <c r="F163" s="268"/>
      <c r="G163" s="282"/>
      <c r="H163" s="269"/>
      <c r="I163" s="278"/>
      <c r="J163" s="278"/>
      <c r="K163" s="270"/>
      <c r="L163" s="270"/>
      <c r="M163" s="5"/>
      <c r="N163" s="277"/>
      <c r="O163" s="281"/>
      <c r="P163" s="274"/>
      <c r="Q163" s="275"/>
      <c r="R163" s="276"/>
    </row>
    <row r="164" spans="1:18" ht="21" hidden="1">
      <c r="A164" s="266"/>
      <c r="B164" s="266"/>
      <c r="C164" s="266"/>
      <c r="D164" s="267"/>
      <c r="E164" s="266"/>
      <c r="F164" s="268"/>
      <c r="G164" s="282"/>
      <c r="H164" s="269"/>
      <c r="I164" s="278"/>
      <c r="J164" s="278"/>
      <c r="K164" s="270"/>
      <c r="L164" s="270"/>
      <c r="M164" s="5"/>
      <c r="N164" s="279"/>
      <c r="O164" s="281"/>
      <c r="P164" s="274"/>
      <c r="Q164" s="275"/>
      <c r="R164" s="276"/>
    </row>
    <row r="165" spans="1:18" ht="21" hidden="1">
      <c r="A165" s="266"/>
      <c r="B165" s="266"/>
      <c r="C165" s="266"/>
      <c r="D165" s="267"/>
      <c r="E165" s="266"/>
      <c r="F165" s="268"/>
      <c r="G165" s="282"/>
      <c r="H165" s="269"/>
      <c r="I165" s="278"/>
      <c r="J165" s="278"/>
      <c r="K165" s="269"/>
      <c r="L165" s="270"/>
      <c r="M165" s="5"/>
      <c r="N165" s="277"/>
      <c r="O165" s="281"/>
      <c r="P165" s="274"/>
      <c r="Q165" s="275"/>
    </row>
    <row r="166" spans="1:18" hidden="1">
      <c r="A166" s="266"/>
      <c r="B166" s="266"/>
      <c r="C166" s="266"/>
      <c r="D166" s="267"/>
      <c r="E166" s="266"/>
      <c r="F166" s="268"/>
      <c r="G166" s="282"/>
      <c r="H166" s="269"/>
      <c r="I166" s="278"/>
      <c r="J166" s="278"/>
      <c r="K166" s="269"/>
      <c r="L166" s="270"/>
      <c r="M166" s="5"/>
      <c r="N166" s="277"/>
      <c r="O166" s="277"/>
      <c r="P166" s="274"/>
      <c r="Q166" s="275"/>
    </row>
    <row r="167" spans="1:18" hidden="1">
      <c r="A167" s="266"/>
      <c r="B167" s="266"/>
      <c r="C167" s="266"/>
      <c r="D167" s="267"/>
      <c r="E167" s="266"/>
      <c r="F167" s="268"/>
      <c r="G167" s="282"/>
      <c r="H167" s="269"/>
      <c r="I167" s="278"/>
      <c r="J167" s="278"/>
      <c r="K167" s="270"/>
      <c r="L167" s="270"/>
      <c r="M167" s="5"/>
      <c r="N167" s="279"/>
      <c r="O167" s="277"/>
      <c r="P167" s="274"/>
      <c r="Q167" s="275"/>
      <c r="R167" s="276"/>
    </row>
    <row r="168" spans="1:18" hidden="1">
      <c r="A168" s="266"/>
      <c r="B168" s="266"/>
      <c r="C168" s="266"/>
      <c r="D168" s="289"/>
      <c r="E168" s="266"/>
      <c r="F168" s="268"/>
      <c r="G168" s="282"/>
      <c r="H168" s="269"/>
      <c r="I168" s="278"/>
      <c r="J168" s="278"/>
      <c r="K168" s="269"/>
      <c r="L168" s="270"/>
      <c r="M168" s="5"/>
      <c r="N168" s="277"/>
      <c r="O168" s="277"/>
      <c r="P168" s="274"/>
      <c r="Q168" s="275"/>
    </row>
    <row r="169" spans="1:18" hidden="1">
      <c r="A169" s="266"/>
      <c r="B169" s="266"/>
      <c r="C169" s="266"/>
      <c r="D169" s="267"/>
      <c r="E169" s="266"/>
      <c r="F169" s="268"/>
      <c r="G169" s="282"/>
      <c r="H169" s="269"/>
      <c r="I169" s="278"/>
      <c r="J169" s="278"/>
      <c r="K169" s="269"/>
      <c r="L169" s="270"/>
      <c r="M169" s="5"/>
      <c r="N169" s="277"/>
      <c r="O169" s="277"/>
      <c r="P169" s="274"/>
      <c r="Q169" s="275"/>
    </row>
    <row r="170" spans="1:18" hidden="1">
      <c r="A170" s="266"/>
      <c r="B170" s="266"/>
      <c r="C170" s="266"/>
      <c r="D170" s="267"/>
      <c r="E170" s="266"/>
      <c r="F170" s="268"/>
      <c r="G170" s="282"/>
      <c r="H170" s="269"/>
      <c r="I170" s="278"/>
      <c r="J170" s="278"/>
      <c r="K170" s="269"/>
      <c r="L170" s="270"/>
      <c r="M170" s="5"/>
      <c r="N170" s="277"/>
      <c r="O170" s="277"/>
      <c r="P170" s="274"/>
      <c r="Q170" s="275"/>
    </row>
    <row r="171" spans="1:18" hidden="1">
      <c r="A171" s="266"/>
      <c r="B171" s="266"/>
      <c r="C171" s="266"/>
      <c r="D171" s="267"/>
      <c r="E171" s="266"/>
      <c r="F171" s="268"/>
      <c r="G171" s="282"/>
      <c r="H171" s="269"/>
      <c r="I171" s="278"/>
      <c r="J171" s="278"/>
      <c r="K171" s="269"/>
      <c r="L171" s="270"/>
      <c r="M171" s="5"/>
      <c r="N171" s="284"/>
      <c r="O171" s="284"/>
      <c r="P171" s="274"/>
      <c r="Q171" s="275"/>
    </row>
    <row r="172" spans="1:18" hidden="1">
      <c r="A172" s="266"/>
      <c r="B172" s="266"/>
      <c r="C172" s="266"/>
      <c r="D172" s="267"/>
      <c r="E172" s="266"/>
      <c r="F172" s="268"/>
      <c r="G172" s="282"/>
      <c r="H172" s="269"/>
      <c r="I172" s="278"/>
      <c r="J172" s="278"/>
      <c r="K172" s="270"/>
      <c r="L172" s="270"/>
      <c r="M172" s="5"/>
      <c r="N172" s="284"/>
      <c r="O172" s="284"/>
      <c r="P172" s="274"/>
      <c r="Q172" s="275"/>
      <c r="R172" s="276"/>
    </row>
    <row r="173" spans="1:18" hidden="1">
      <c r="A173" s="266"/>
      <c r="B173" s="266"/>
      <c r="C173" s="266"/>
      <c r="D173" s="267"/>
      <c r="E173" s="266"/>
      <c r="F173" s="268"/>
      <c r="G173" s="282"/>
      <c r="H173" s="269"/>
      <c r="I173" s="278"/>
      <c r="J173" s="278"/>
      <c r="K173" s="269"/>
      <c r="L173" s="270"/>
      <c r="M173" s="5"/>
      <c r="N173" s="277"/>
      <c r="O173" s="277"/>
      <c r="P173" s="274"/>
      <c r="Q173" s="275"/>
    </row>
    <row r="174" spans="1:18" hidden="1">
      <c r="A174" s="266"/>
      <c r="B174" s="266"/>
      <c r="C174" s="266"/>
      <c r="D174" s="267"/>
      <c r="E174" s="266"/>
      <c r="F174" s="268"/>
      <c r="G174" s="282"/>
      <c r="H174" s="269"/>
      <c r="I174" s="278"/>
      <c r="J174" s="278"/>
      <c r="K174" s="270"/>
      <c r="L174" s="270"/>
      <c r="M174" s="5">
        <v>1</v>
      </c>
      <c r="N174" s="277"/>
      <c r="O174" s="277"/>
      <c r="P174" s="274"/>
      <c r="Q174" s="275"/>
    </row>
    <row r="175" spans="1:18" hidden="1">
      <c r="A175" s="266"/>
      <c r="B175" s="266"/>
      <c r="C175" s="266"/>
      <c r="D175" s="267"/>
      <c r="E175" s="266"/>
      <c r="F175" s="268"/>
      <c r="G175" s="282"/>
      <c r="H175" s="269"/>
      <c r="I175" s="278"/>
      <c r="J175" s="278"/>
      <c r="K175" s="270"/>
      <c r="L175" s="270"/>
      <c r="M175" s="5">
        <v>1</v>
      </c>
      <c r="N175" s="277"/>
      <c r="O175" s="277"/>
      <c r="P175" s="274"/>
      <c r="Q175" s="275"/>
    </row>
    <row r="176" spans="1:18" hidden="1">
      <c r="A176" s="266"/>
      <c r="B176" s="266"/>
      <c r="C176" s="266"/>
      <c r="D176" s="267"/>
      <c r="E176" s="266"/>
      <c r="F176" s="268"/>
      <c r="G176" s="282"/>
      <c r="H176" s="269"/>
      <c r="I176" s="278"/>
      <c r="J176" s="278"/>
      <c r="K176" s="270"/>
      <c r="L176" s="270"/>
      <c r="M176" s="5">
        <v>1</v>
      </c>
      <c r="N176" s="284"/>
      <c r="O176" s="284"/>
      <c r="P176" s="274"/>
      <c r="Q176" s="275"/>
    </row>
    <row r="177" spans="1:17" hidden="1">
      <c r="A177" s="266"/>
      <c r="B177" s="266"/>
      <c r="C177" s="266"/>
      <c r="D177" s="267"/>
      <c r="E177" s="266"/>
      <c r="F177" s="268"/>
      <c r="G177" s="282"/>
      <c r="H177" s="269"/>
      <c r="I177" s="278"/>
      <c r="J177" s="278"/>
      <c r="K177" s="270"/>
      <c r="L177" s="270"/>
      <c r="M177" s="5"/>
      <c r="N177" s="284"/>
      <c r="O177" s="270"/>
      <c r="P177" s="274"/>
      <c r="Q177" s="275"/>
    </row>
    <row r="178" spans="1:17" hidden="1">
      <c r="A178" s="266"/>
      <c r="B178" s="266"/>
      <c r="C178" s="266"/>
      <c r="D178" s="267"/>
      <c r="E178" s="266"/>
      <c r="F178" s="268"/>
      <c r="G178" s="282"/>
      <c r="H178" s="269"/>
      <c r="I178" s="278"/>
      <c r="J178" s="278"/>
      <c r="K178" s="269"/>
      <c r="L178" s="270"/>
      <c r="M178" s="5"/>
      <c r="N178" s="284"/>
      <c r="O178" s="270"/>
      <c r="P178" s="274"/>
      <c r="Q178" s="275"/>
    </row>
    <row r="179" spans="1:17" hidden="1">
      <c r="A179" s="266"/>
      <c r="B179" s="266"/>
      <c r="C179" s="266"/>
      <c r="D179" s="267"/>
      <c r="E179" s="266"/>
      <c r="F179" s="268"/>
      <c r="G179" s="282"/>
      <c r="H179" s="269"/>
      <c r="I179" s="278"/>
      <c r="J179" s="278"/>
      <c r="K179" s="270"/>
      <c r="L179" s="270"/>
      <c r="M179" s="5"/>
      <c r="N179" s="284"/>
      <c r="O179" s="277"/>
      <c r="P179" s="274"/>
      <c r="Q179" s="275"/>
    </row>
    <row r="180" spans="1:17" hidden="1">
      <c r="A180" s="266"/>
      <c r="B180" s="266"/>
      <c r="C180" s="266"/>
      <c r="D180" s="267"/>
      <c r="E180" s="266"/>
      <c r="F180" s="268"/>
      <c r="G180" s="282"/>
      <c r="H180" s="269"/>
      <c r="I180" s="278"/>
      <c r="J180" s="278"/>
      <c r="K180" s="270"/>
      <c r="L180" s="270"/>
      <c r="M180" s="5">
        <v>1</v>
      </c>
      <c r="N180" s="284"/>
      <c r="O180" s="277"/>
      <c r="P180" s="274"/>
      <c r="Q180" s="275"/>
    </row>
    <row r="181" spans="1:17" ht="21" hidden="1">
      <c r="A181" s="266"/>
      <c r="B181" s="266"/>
      <c r="C181" s="266"/>
      <c r="D181" s="267"/>
      <c r="E181" s="266"/>
      <c r="F181" s="268"/>
      <c r="G181" s="282"/>
      <c r="H181" s="269"/>
      <c r="I181" s="278"/>
      <c r="J181" s="278"/>
      <c r="K181" s="270"/>
      <c r="L181" s="270"/>
      <c r="M181" s="5"/>
      <c r="N181" s="284"/>
      <c r="O181" s="281"/>
      <c r="P181" s="274"/>
      <c r="Q181" s="275"/>
    </row>
    <row r="182" spans="1:17" hidden="1">
      <c r="A182" s="266"/>
      <c r="B182" s="266"/>
      <c r="C182" s="266"/>
      <c r="D182" s="289"/>
      <c r="E182" s="266"/>
      <c r="F182" s="268"/>
      <c r="G182" s="282"/>
      <c r="H182" s="269"/>
      <c r="I182" s="278"/>
      <c r="J182" s="278"/>
      <c r="K182" s="269"/>
      <c r="L182" s="270"/>
      <c r="M182" s="5"/>
      <c r="N182" s="284"/>
      <c r="O182" s="277"/>
      <c r="P182" s="274"/>
      <c r="Q182" s="275"/>
    </row>
    <row r="183" spans="1:17" hidden="1">
      <c r="A183" s="266"/>
      <c r="B183" s="266"/>
      <c r="C183" s="266"/>
      <c r="D183" s="289"/>
      <c r="E183" s="266"/>
      <c r="F183" s="268"/>
      <c r="G183" s="282"/>
      <c r="H183" s="269"/>
      <c r="I183" s="278"/>
      <c r="J183" s="278"/>
      <c r="K183" s="270"/>
      <c r="L183" s="270"/>
      <c r="M183" s="5"/>
      <c r="N183" s="284"/>
      <c r="O183" s="277"/>
      <c r="P183" s="274"/>
      <c r="Q183" s="275"/>
    </row>
    <row r="184" spans="1:17" hidden="1">
      <c r="A184" s="266"/>
      <c r="B184" s="266"/>
      <c r="C184" s="266"/>
      <c r="D184" s="267"/>
      <c r="E184" s="266"/>
      <c r="F184" s="268"/>
      <c r="G184" s="282"/>
      <c r="H184" s="269"/>
      <c r="I184" s="278"/>
      <c r="J184" s="278"/>
      <c r="K184" s="269"/>
      <c r="L184" s="270"/>
      <c r="M184" s="5"/>
      <c r="N184" s="284"/>
      <c r="O184" s="277"/>
      <c r="P184" s="274"/>
      <c r="Q184" s="275"/>
    </row>
    <row r="185" spans="1:17" hidden="1">
      <c r="A185" s="266"/>
      <c r="B185" s="266"/>
      <c r="C185" s="266"/>
      <c r="D185" s="267"/>
      <c r="E185" s="266"/>
      <c r="F185" s="268"/>
      <c r="G185" s="282"/>
      <c r="H185" s="269"/>
      <c r="I185" s="278"/>
      <c r="J185" s="278"/>
      <c r="K185" s="269"/>
      <c r="L185" s="270"/>
      <c r="M185" s="5"/>
      <c r="N185" s="284"/>
      <c r="O185" s="277"/>
      <c r="P185" s="274"/>
      <c r="Q185" s="275"/>
    </row>
    <row r="186" spans="1:17" ht="167.55" customHeight="1">
      <c r="A186" s="3" t="s">
        <v>674</v>
      </c>
      <c r="B186" s="3" t="s">
        <v>675</v>
      </c>
      <c r="C186" s="3" t="s">
        <v>676</v>
      </c>
      <c r="D186" s="6" t="s">
        <v>18</v>
      </c>
      <c r="E186" s="3">
        <v>1</v>
      </c>
      <c r="F186" s="4" t="s">
        <v>677</v>
      </c>
      <c r="G186" s="4" t="s">
        <v>678</v>
      </c>
      <c r="H186" s="11" t="s">
        <v>21</v>
      </c>
      <c r="I186" s="15" t="s">
        <v>21</v>
      </c>
      <c r="J186" s="15" t="s">
        <v>679</v>
      </c>
      <c r="K186" s="11" t="s">
        <v>21</v>
      </c>
      <c r="L186" s="5" t="s">
        <v>31</v>
      </c>
      <c r="M186" s="5"/>
      <c r="N186" s="277"/>
      <c r="O186" s="277"/>
      <c r="P186" s="202" t="s">
        <v>2593</v>
      </c>
      <c r="Q186" s="201">
        <v>182</v>
      </c>
    </row>
    <row r="187" spans="1:17" ht="124.2">
      <c r="A187" s="3" t="s">
        <v>674</v>
      </c>
      <c r="B187" s="3" t="s">
        <v>675</v>
      </c>
      <c r="C187" s="3" t="s">
        <v>676</v>
      </c>
      <c r="D187" s="7" t="s">
        <v>24</v>
      </c>
      <c r="E187" s="3">
        <v>2</v>
      </c>
      <c r="F187" s="4" t="s">
        <v>680</v>
      </c>
      <c r="G187" s="4" t="s">
        <v>681</v>
      </c>
      <c r="H187" s="11" t="s">
        <v>27</v>
      </c>
      <c r="I187" s="15" t="s">
        <v>682</v>
      </c>
      <c r="J187" s="15" t="s">
        <v>683</v>
      </c>
      <c r="K187" s="5" t="s">
        <v>23</v>
      </c>
      <c r="L187" s="5" t="s">
        <v>23</v>
      </c>
      <c r="M187" s="5"/>
      <c r="N187" s="277"/>
      <c r="O187" s="277" t="s">
        <v>2517</v>
      </c>
      <c r="P187" s="202" t="s">
        <v>2594</v>
      </c>
      <c r="Q187" s="201">
        <v>183</v>
      </c>
    </row>
    <row r="188" spans="1:17" ht="193.2">
      <c r="A188" s="3" t="s">
        <v>674</v>
      </c>
      <c r="B188" s="3" t="s">
        <v>675</v>
      </c>
      <c r="C188" s="3" t="s">
        <v>676</v>
      </c>
      <c r="D188" s="7" t="s">
        <v>24</v>
      </c>
      <c r="E188" s="3">
        <v>2</v>
      </c>
      <c r="F188" s="4" t="s">
        <v>684</v>
      </c>
      <c r="G188" s="4" t="s">
        <v>685</v>
      </c>
      <c r="H188" s="11" t="s">
        <v>27</v>
      </c>
      <c r="I188" s="15" t="s">
        <v>686</v>
      </c>
      <c r="J188" s="15" t="s">
        <v>687</v>
      </c>
      <c r="K188" s="5" t="s">
        <v>31</v>
      </c>
      <c r="L188" s="5" t="s">
        <v>31</v>
      </c>
      <c r="M188" s="5">
        <v>1</v>
      </c>
      <c r="N188" s="277"/>
      <c r="O188" s="277"/>
      <c r="P188" s="202" t="s">
        <v>2593</v>
      </c>
      <c r="Q188" s="201">
        <v>184</v>
      </c>
    </row>
    <row r="189" spans="1:17" ht="109.05" customHeight="1">
      <c r="A189" s="3" t="s">
        <v>674</v>
      </c>
      <c r="B189" s="3" t="s">
        <v>675</v>
      </c>
      <c r="C189" s="3" t="s">
        <v>676</v>
      </c>
      <c r="D189" s="7" t="s">
        <v>24</v>
      </c>
      <c r="E189" s="3">
        <v>2</v>
      </c>
      <c r="F189" s="4" t="s">
        <v>688</v>
      </c>
      <c r="G189" s="4" t="s">
        <v>689</v>
      </c>
      <c r="H189" s="11" t="s">
        <v>27</v>
      </c>
      <c r="I189" s="15" t="s">
        <v>686</v>
      </c>
      <c r="J189" s="15" t="s">
        <v>690</v>
      </c>
      <c r="K189" s="5" t="s">
        <v>31</v>
      </c>
      <c r="L189" s="5" t="s">
        <v>31</v>
      </c>
      <c r="M189" s="5">
        <v>1</v>
      </c>
      <c r="N189" s="277"/>
      <c r="O189" s="277"/>
      <c r="P189" s="202" t="s">
        <v>2593</v>
      </c>
      <c r="Q189" s="201">
        <v>185</v>
      </c>
    </row>
    <row r="190" spans="1:17" hidden="1">
      <c r="A190" s="266"/>
      <c r="B190" s="266"/>
      <c r="C190" s="266"/>
      <c r="D190" s="267"/>
      <c r="E190" s="266"/>
      <c r="F190" s="268"/>
      <c r="G190" s="268"/>
      <c r="H190" s="269"/>
      <c r="I190" s="278"/>
      <c r="J190" s="278"/>
      <c r="K190" s="270"/>
      <c r="L190" s="270"/>
      <c r="M190" s="5"/>
      <c r="N190" s="277"/>
      <c r="O190" s="277"/>
      <c r="P190" s="274"/>
      <c r="Q190" s="275"/>
    </row>
    <row r="191" spans="1:17" hidden="1">
      <c r="A191" s="266"/>
      <c r="B191" s="266"/>
      <c r="C191" s="266"/>
      <c r="D191" s="267"/>
      <c r="E191" s="266"/>
      <c r="F191" s="268"/>
      <c r="G191" s="268"/>
      <c r="H191" s="269"/>
      <c r="I191" s="278"/>
      <c r="J191" s="278"/>
      <c r="K191" s="269"/>
      <c r="L191" s="270"/>
      <c r="M191" s="5"/>
      <c r="N191" s="277"/>
      <c r="O191" s="277"/>
      <c r="P191" s="274"/>
      <c r="Q191" s="275"/>
    </row>
    <row r="192" spans="1:17" hidden="1">
      <c r="A192" s="266"/>
      <c r="B192" s="266"/>
      <c r="C192" s="266"/>
      <c r="D192" s="267"/>
      <c r="E192" s="266"/>
      <c r="F192" s="268"/>
      <c r="G192" s="268"/>
      <c r="H192" s="269"/>
      <c r="I192" s="278"/>
      <c r="J192" s="278"/>
      <c r="K192" s="269"/>
      <c r="L192" s="270"/>
      <c r="M192" s="5"/>
      <c r="N192" s="277"/>
      <c r="O192" s="277"/>
      <c r="P192" s="274"/>
      <c r="Q192" s="275"/>
    </row>
    <row r="193" spans="1:18" hidden="1">
      <c r="A193" s="266"/>
      <c r="B193" s="266"/>
      <c r="C193" s="266"/>
      <c r="D193" s="289"/>
      <c r="E193" s="266"/>
      <c r="F193" s="268"/>
      <c r="G193" s="268"/>
      <c r="H193" s="269"/>
      <c r="I193" s="278"/>
      <c r="J193" s="278"/>
      <c r="K193" s="270"/>
      <c r="L193" s="270"/>
      <c r="M193" s="5">
        <v>1</v>
      </c>
      <c r="N193" s="277"/>
      <c r="O193" s="277"/>
      <c r="P193" s="274"/>
      <c r="Q193" s="275"/>
    </row>
    <row r="194" spans="1:18" hidden="1">
      <c r="A194" s="266"/>
      <c r="B194" s="266"/>
      <c r="C194" s="266"/>
      <c r="D194" s="289"/>
      <c r="E194" s="266"/>
      <c r="F194" s="268"/>
      <c r="G194" s="268"/>
      <c r="H194" s="269"/>
      <c r="I194" s="278"/>
      <c r="J194" s="278"/>
      <c r="K194" s="269"/>
      <c r="L194" s="270"/>
      <c r="M194" s="5"/>
      <c r="N194" s="277"/>
      <c r="O194" s="277"/>
      <c r="P194" s="274"/>
      <c r="Q194" s="275"/>
    </row>
    <row r="195" spans="1:18" hidden="1">
      <c r="A195" s="266"/>
      <c r="B195" s="266"/>
      <c r="C195" s="266"/>
      <c r="D195" s="267"/>
      <c r="E195" s="266"/>
      <c r="F195" s="268"/>
      <c r="G195" s="268"/>
      <c r="H195" s="269"/>
      <c r="I195" s="278"/>
      <c r="J195" s="278"/>
      <c r="K195" s="269"/>
      <c r="L195" s="270"/>
      <c r="M195" s="5"/>
      <c r="N195" s="277"/>
      <c r="O195" s="277"/>
      <c r="P195" s="274"/>
      <c r="Q195" s="275"/>
    </row>
    <row r="196" spans="1:18" hidden="1">
      <c r="A196" s="266"/>
      <c r="B196" s="266"/>
      <c r="C196" s="266"/>
      <c r="D196" s="267"/>
      <c r="E196" s="266"/>
      <c r="F196" s="268"/>
      <c r="G196" s="268"/>
      <c r="H196" s="269"/>
      <c r="I196" s="278"/>
      <c r="J196" s="278"/>
      <c r="K196" s="269"/>
      <c r="L196" s="270"/>
      <c r="M196" s="5"/>
      <c r="N196" s="277"/>
      <c r="O196" s="277"/>
      <c r="P196" s="274"/>
      <c r="Q196" s="275"/>
    </row>
    <row r="197" spans="1:18" hidden="1">
      <c r="A197" s="266"/>
      <c r="B197" s="266"/>
      <c r="C197" s="266"/>
      <c r="D197" s="267"/>
      <c r="E197" s="266"/>
      <c r="F197" s="268"/>
      <c r="G197" s="268"/>
      <c r="H197" s="269"/>
      <c r="I197" s="278"/>
      <c r="J197" s="278"/>
      <c r="K197" s="269"/>
      <c r="L197" s="270"/>
      <c r="M197" s="5"/>
      <c r="N197" s="277"/>
      <c r="O197" s="277"/>
      <c r="P197" s="274"/>
      <c r="Q197" s="275"/>
    </row>
    <row r="198" spans="1:18" ht="41.4">
      <c r="A198" s="3" t="s">
        <v>674</v>
      </c>
      <c r="B198" s="3" t="s">
        <v>675</v>
      </c>
      <c r="C198" s="3" t="s">
        <v>717</v>
      </c>
      <c r="D198" s="6" t="s">
        <v>18</v>
      </c>
      <c r="E198" s="3">
        <v>1</v>
      </c>
      <c r="F198" s="22" t="s">
        <v>718</v>
      </c>
      <c r="G198" s="22" t="s">
        <v>719</v>
      </c>
      <c r="H198" s="11" t="s">
        <v>21</v>
      </c>
      <c r="I198" s="15" t="s">
        <v>21</v>
      </c>
      <c r="J198" s="15" t="s">
        <v>720</v>
      </c>
      <c r="K198" s="11" t="s">
        <v>21</v>
      </c>
      <c r="L198" s="5" t="s">
        <v>31</v>
      </c>
      <c r="M198" s="5"/>
      <c r="N198" s="277"/>
      <c r="O198" s="277"/>
      <c r="P198" s="202" t="s">
        <v>2584</v>
      </c>
      <c r="Q198" s="201">
        <v>194</v>
      </c>
    </row>
    <row r="199" spans="1:18" ht="27.6">
      <c r="A199" s="3" t="s">
        <v>674</v>
      </c>
      <c r="B199" s="3" t="s">
        <v>675</v>
      </c>
      <c r="C199" s="3" t="s">
        <v>717</v>
      </c>
      <c r="D199" s="7" t="s">
        <v>24</v>
      </c>
      <c r="E199" s="3">
        <v>2</v>
      </c>
      <c r="F199" s="22" t="s">
        <v>721</v>
      </c>
      <c r="G199" s="22" t="s">
        <v>722</v>
      </c>
      <c r="H199" s="11" t="s">
        <v>55</v>
      </c>
      <c r="I199" s="15" t="s">
        <v>723</v>
      </c>
      <c r="J199" s="15" t="s">
        <v>724</v>
      </c>
      <c r="K199" s="5" t="s">
        <v>31</v>
      </c>
      <c r="L199" s="5" t="s">
        <v>31</v>
      </c>
      <c r="M199" s="5"/>
      <c r="N199" s="277"/>
      <c r="O199" s="277"/>
      <c r="P199" s="202" t="s">
        <v>2584</v>
      </c>
      <c r="Q199" s="201">
        <v>195</v>
      </c>
    </row>
    <row r="200" spans="1:18" ht="110.4">
      <c r="A200" s="3" t="s">
        <v>674</v>
      </c>
      <c r="B200" s="3" t="s">
        <v>675</v>
      </c>
      <c r="C200" s="3" t="s">
        <v>717</v>
      </c>
      <c r="D200" s="7" t="s">
        <v>24</v>
      </c>
      <c r="E200" s="3">
        <v>2</v>
      </c>
      <c r="F200" s="4" t="s">
        <v>725</v>
      </c>
      <c r="G200" s="4" t="s">
        <v>726</v>
      </c>
      <c r="H200" s="11" t="s">
        <v>55</v>
      </c>
      <c r="I200" s="15" t="s">
        <v>727</v>
      </c>
      <c r="J200" s="15" t="s">
        <v>728</v>
      </c>
      <c r="K200" s="5" t="s">
        <v>31</v>
      </c>
      <c r="L200" s="5" t="s">
        <v>31</v>
      </c>
      <c r="M200" s="5"/>
      <c r="N200" s="277"/>
      <c r="O200" s="277"/>
      <c r="P200" s="202" t="s">
        <v>2584</v>
      </c>
      <c r="Q200" s="201">
        <v>196</v>
      </c>
    </row>
    <row r="201" spans="1:18" ht="124.2">
      <c r="A201" s="3" t="s">
        <v>674</v>
      </c>
      <c r="B201" s="3" t="s">
        <v>675</v>
      </c>
      <c r="C201" s="3" t="s">
        <v>717</v>
      </c>
      <c r="D201" s="7" t="s">
        <v>24</v>
      </c>
      <c r="E201" s="3">
        <v>2</v>
      </c>
      <c r="F201" s="4" t="s">
        <v>729</v>
      </c>
      <c r="G201" s="4" t="s">
        <v>730</v>
      </c>
      <c r="H201" s="11" t="s">
        <v>55</v>
      </c>
      <c r="I201" s="15" t="s">
        <v>731</v>
      </c>
      <c r="J201" s="15" t="s">
        <v>732</v>
      </c>
      <c r="K201" s="5" t="s">
        <v>31</v>
      </c>
      <c r="L201" s="5" t="s">
        <v>31</v>
      </c>
      <c r="M201" s="5"/>
      <c r="N201" s="277"/>
      <c r="O201" s="277"/>
      <c r="P201" s="202" t="s">
        <v>2584</v>
      </c>
      <c r="Q201" s="201">
        <v>197</v>
      </c>
    </row>
    <row r="202" spans="1:18" hidden="1">
      <c r="A202" s="266"/>
      <c r="B202" s="266"/>
      <c r="C202" s="266"/>
      <c r="D202" s="267"/>
      <c r="E202" s="266"/>
      <c r="F202" s="268"/>
      <c r="G202" s="268"/>
      <c r="H202" s="269"/>
      <c r="I202" s="278"/>
      <c r="J202" s="278"/>
      <c r="K202" s="270"/>
      <c r="L202" s="270"/>
      <c r="M202" s="5"/>
      <c r="N202" s="277"/>
      <c r="O202" s="277"/>
      <c r="P202" s="274"/>
      <c r="Q202" s="275"/>
    </row>
    <row r="203" spans="1:18" hidden="1">
      <c r="A203" s="266"/>
      <c r="B203" s="266"/>
      <c r="C203" s="266"/>
      <c r="D203" s="289"/>
      <c r="E203" s="266"/>
      <c r="F203" s="268"/>
      <c r="G203" s="268"/>
      <c r="H203" s="269"/>
      <c r="I203" s="278"/>
      <c r="J203" s="278"/>
      <c r="K203" s="270"/>
      <c r="L203" s="270"/>
      <c r="M203" s="5">
        <v>1</v>
      </c>
      <c r="N203" s="277"/>
      <c r="O203" s="277"/>
      <c r="P203" s="274"/>
      <c r="Q203" s="275"/>
    </row>
    <row r="204" spans="1:18" hidden="1">
      <c r="A204" s="266"/>
      <c r="B204" s="266"/>
      <c r="C204" s="266"/>
      <c r="D204" s="267"/>
      <c r="E204" s="266"/>
      <c r="F204" s="268"/>
      <c r="G204" s="268"/>
      <c r="H204" s="269"/>
      <c r="I204" s="278"/>
      <c r="J204" s="278"/>
      <c r="K204" s="269"/>
      <c r="L204" s="270"/>
      <c r="M204" s="5"/>
      <c r="N204" s="277"/>
      <c r="O204" s="277"/>
      <c r="P204" s="274"/>
      <c r="Q204" s="275"/>
    </row>
    <row r="205" spans="1:18" hidden="1">
      <c r="A205" s="283"/>
      <c r="B205" s="266"/>
      <c r="C205" s="266"/>
      <c r="D205" s="267"/>
      <c r="E205" s="266"/>
      <c r="F205" s="268"/>
      <c r="G205" s="268"/>
      <c r="H205" s="269"/>
      <c r="I205" s="278"/>
      <c r="J205" s="278"/>
      <c r="K205" s="269"/>
      <c r="L205" s="270"/>
      <c r="M205" s="5"/>
      <c r="N205" s="279"/>
      <c r="O205" s="277"/>
      <c r="P205" s="274"/>
      <c r="Q205" s="275"/>
    </row>
    <row r="206" spans="1:18" hidden="1">
      <c r="A206" s="283"/>
      <c r="B206" s="266"/>
      <c r="C206" s="266"/>
      <c r="D206" s="267"/>
      <c r="E206" s="266"/>
      <c r="F206" s="268"/>
      <c r="G206" s="268"/>
      <c r="H206" s="269"/>
      <c r="I206" s="278"/>
      <c r="J206" s="278"/>
      <c r="K206" s="270"/>
      <c r="L206" s="270"/>
      <c r="M206" s="5"/>
      <c r="N206" s="277"/>
      <c r="O206" s="277"/>
      <c r="P206" s="274"/>
      <c r="Q206" s="275"/>
      <c r="R206" s="276"/>
    </row>
    <row r="207" spans="1:18" ht="223.95" hidden="1" customHeight="1">
      <c r="A207" s="283"/>
      <c r="B207" s="266"/>
      <c r="C207" s="266"/>
      <c r="D207" s="267"/>
      <c r="E207" s="266"/>
      <c r="F207" s="268"/>
      <c r="G207" s="268"/>
      <c r="H207" s="269"/>
      <c r="I207" s="278"/>
      <c r="J207" s="278"/>
      <c r="K207" s="270"/>
      <c r="L207" s="270"/>
      <c r="M207" s="5"/>
      <c r="N207" s="277"/>
      <c r="O207" s="277"/>
      <c r="P207" s="274"/>
      <c r="Q207" s="275"/>
      <c r="R207" s="276"/>
    </row>
    <row r="208" spans="1:18" hidden="1">
      <c r="A208" s="283"/>
      <c r="B208" s="266"/>
      <c r="C208" s="266"/>
      <c r="D208" s="267"/>
      <c r="E208" s="266"/>
      <c r="F208" s="268"/>
      <c r="G208" s="268"/>
      <c r="H208" s="269"/>
      <c r="I208" s="278"/>
      <c r="J208" s="278"/>
      <c r="K208" s="269"/>
      <c r="L208" s="270"/>
      <c r="M208" s="5"/>
      <c r="N208" s="277"/>
      <c r="O208" s="277"/>
      <c r="P208" s="274"/>
      <c r="Q208" s="275"/>
    </row>
    <row r="209" spans="1:18" hidden="1">
      <c r="A209" s="283"/>
      <c r="B209" s="266"/>
      <c r="C209" s="266"/>
      <c r="D209" s="267"/>
      <c r="E209" s="266"/>
      <c r="F209" s="268"/>
      <c r="G209" s="272"/>
      <c r="H209" s="269"/>
      <c r="I209" s="278"/>
      <c r="J209" s="278"/>
      <c r="K209" s="270"/>
      <c r="L209" s="270"/>
      <c r="M209" s="5">
        <v>1</v>
      </c>
      <c r="N209" s="277"/>
      <c r="O209" s="277"/>
      <c r="P209" s="274"/>
      <c r="Q209" s="275"/>
      <c r="R209" s="276"/>
    </row>
    <row r="210" spans="1:18" hidden="1">
      <c r="A210" s="283"/>
      <c r="B210" s="266"/>
      <c r="C210" s="266"/>
      <c r="D210" s="267"/>
      <c r="E210" s="266"/>
      <c r="F210" s="268"/>
      <c r="G210" s="268"/>
      <c r="H210" s="269"/>
      <c r="I210" s="278"/>
      <c r="J210" s="278"/>
      <c r="K210" s="270"/>
      <c r="L210" s="270"/>
      <c r="M210" s="5">
        <v>1</v>
      </c>
      <c r="N210" s="277"/>
      <c r="O210" s="277"/>
      <c r="P210" s="274"/>
      <c r="Q210" s="275"/>
      <c r="R210" s="276"/>
    </row>
    <row r="211" spans="1:18" hidden="1">
      <c r="A211" s="283"/>
      <c r="B211" s="266"/>
      <c r="C211" s="266"/>
      <c r="D211" s="267"/>
      <c r="E211" s="266"/>
      <c r="F211" s="268"/>
      <c r="G211" s="268"/>
      <c r="H211" s="269"/>
      <c r="I211" s="278"/>
      <c r="J211" s="278"/>
      <c r="K211" s="269"/>
      <c r="L211" s="270"/>
      <c r="M211" s="5"/>
      <c r="N211" s="277"/>
      <c r="O211" s="277"/>
      <c r="P211" s="274"/>
      <c r="Q211" s="275"/>
    </row>
    <row r="212" spans="1:18" hidden="1">
      <c r="A212" s="283"/>
      <c r="B212" s="266"/>
      <c r="C212" s="266"/>
      <c r="D212" s="267"/>
      <c r="E212" s="266"/>
      <c r="F212" s="268"/>
      <c r="G212" s="285"/>
      <c r="H212" s="269"/>
      <c r="I212" s="278"/>
      <c r="J212" s="278"/>
      <c r="K212" s="269"/>
      <c r="L212" s="270"/>
      <c r="M212" s="5"/>
      <c r="N212" s="277"/>
      <c r="O212" s="277"/>
      <c r="P212" s="274"/>
      <c r="Q212" s="275"/>
    </row>
    <row r="213" spans="1:18" hidden="1">
      <c r="A213" s="283"/>
      <c r="B213" s="266"/>
      <c r="C213" s="266"/>
      <c r="D213" s="267"/>
      <c r="E213" s="266"/>
      <c r="F213" s="268"/>
      <c r="G213" s="291"/>
      <c r="H213" s="269"/>
      <c r="I213" s="278"/>
      <c r="J213" s="278"/>
      <c r="K213" s="269"/>
      <c r="L213" s="270"/>
      <c r="M213" s="5"/>
      <c r="N213" s="277"/>
      <c r="O213" s="277"/>
      <c r="P213" s="274"/>
      <c r="Q213" s="275"/>
    </row>
    <row r="214" spans="1:18" hidden="1">
      <c r="A214" s="283"/>
      <c r="B214" s="266"/>
      <c r="C214" s="266"/>
      <c r="D214" s="267"/>
      <c r="E214" s="266"/>
      <c r="F214" s="268"/>
      <c r="G214" s="285"/>
      <c r="H214" s="269"/>
      <c r="I214" s="278"/>
      <c r="J214" s="278"/>
      <c r="K214" s="270"/>
      <c r="L214" s="270"/>
      <c r="M214" s="5"/>
      <c r="N214" s="277"/>
      <c r="O214" s="277"/>
      <c r="P214" s="274"/>
      <c r="Q214" s="275"/>
      <c r="R214" s="276"/>
    </row>
    <row r="215" spans="1:18" ht="90" hidden="1" customHeight="1">
      <c r="A215" s="283"/>
      <c r="B215" s="266"/>
      <c r="C215" s="266"/>
      <c r="D215" s="267"/>
      <c r="E215" s="266"/>
      <c r="F215" s="268"/>
      <c r="G215" s="285"/>
      <c r="H215" s="269"/>
      <c r="I215" s="278"/>
      <c r="J215" s="278"/>
      <c r="K215" s="269"/>
      <c r="L215" s="270"/>
      <c r="M215" s="5"/>
      <c r="N215" s="277"/>
      <c r="O215" s="277"/>
      <c r="P215" s="274"/>
      <c r="Q215" s="275"/>
    </row>
    <row r="216" spans="1:18" hidden="1">
      <c r="A216" s="283"/>
      <c r="B216" s="266"/>
      <c r="C216" s="266"/>
      <c r="D216" s="267"/>
      <c r="E216" s="266"/>
      <c r="F216" s="268"/>
      <c r="G216" s="268"/>
      <c r="H216" s="269"/>
      <c r="I216" s="278"/>
      <c r="J216" s="278"/>
      <c r="K216" s="270"/>
      <c r="L216" s="270"/>
      <c r="M216" s="5"/>
      <c r="N216" s="277"/>
      <c r="O216" s="277"/>
      <c r="P216" s="274"/>
      <c r="Q216" s="275"/>
    </row>
    <row r="217" spans="1:18" hidden="1">
      <c r="A217" s="283"/>
      <c r="B217" s="266"/>
      <c r="C217" s="266"/>
      <c r="D217" s="289"/>
      <c r="E217" s="266"/>
      <c r="F217" s="268"/>
      <c r="G217" s="272"/>
      <c r="H217" s="269"/>
      <c r="I217" s="278"/>
      <c r="J217" s="278"/>
      <c r="K217" s="269"/>
      <c r="L217" s="270"/>
      <c r="M217" s="5"/>
      <c r="N217" s="277"/>
      <c r="O217" s="277"/>
      <c r="P217" s="274"/>
      <c r="Q217" s="275"/>
    </row>
    <row r="218" spans="1:18" hidden="1">
      <c r="A218" s="283"/>
      <c r="B218" s="266"/>
      <c r="C218" s="266"/>
      <c r="D218" s="267"/>
      <c r="E218" s="266"/>
      <c r="F218" s="268"/>
      <c r="G218" s="272"/>
      <c r="H218" s="269"/>
      <c r="I218" s="278"/>
      <c r="J218" s="278"/>
      <c r="K218" s="269"/>
      <c r="L218" s="270"/>
      <c r="M218" s="5"/>
      <c r="N218" s="277"/>
      <c r="O218" s="277"/>
      <c r="P218" s="274"/>
      <c r="Q218" s="275"/>
    </row>
    <row r="219" spans="1:18" hidden="1">
      <c r="A219" s="283"/>
      <c r="B219" s="266"/>
      <c r="C219" s="266"/>
      <c r="D219" s="267"/>
      <c r="E219" s="266"/>
      <c r="F219" s="268"/>
      <c r="G219" s="268"/>
      <c r="H219" s="269"/>
      <c r="I219" s="278"/>
      <c r="J219" s="278"/>
      <c r="K219" s="269"/>
      <c r="L219" s="270"/>
      <c r="M219" s="5"/>
      <c r="N219" s="279"/>
      <c r="O219" s="277"/>
      <c r="P219" s="274"/>
      <c r="Q219" s="275"/>
    </row>
    <row r="220" spans="1:18" hidden="1">
      <c r="A220" s="283"/>
      <c r="B220" s="266"/>
      <c r="C220" s="266"/>
      <c r="D220" s="267"/>
      <c r="E220" s="266"/>
      <c r="F220" s="268"/>
      <c r="G220" s="272"/>
      <c r="H220" s="269"/>
      <c r="I220" s="278"/>
      <c r="J220" s="278"/>
      <c r="K220" s="270"/>
      <c r="L220" s="270"/>
      <c r="M220" s="5"/>
      <c r="N220" s="277"/>
      <c r="O220" s="277"/>
      <c r="P220" s="274"/>
      <c r="Q220" s="275"/>
      <c r="R220" s="276"/>
    </row>
    <row r="221" spans="1:18" hidden="1">
      <c r="A221" s="283"/>
      <c r="B221" s="266"/>
      <c r="C221" s="266"/>
      <c r="D221" s="267"/>
      <c r="E221" s="266"/>
      <c r="F221" s="268"/>
      <c r="G221" s="285"/>
      <c r="H221" s="269"/>
      <c r="I221" s="278"/>
      <c r="J221" s="278"/>
      <c r="K221" s="270"/>
      <c r="L221" s="270"/>
      <c r="M221" s="5"/>
      <c r="N221" s="277"/>
      <c r="O221" s="277"/>
      <c r="P221" s="274"/>
      <c r="Q221" s="275"/>
    </row>
    <row r="222" spans="1:18" hidden="1">
      <c r="A222" s="283"/>
      <c r="B222" s="266"/>
      <c r="C222" s="266"/>
      <c r="D222" s="267"/>
      <c r="E222" s="266"/>
      <c r="F222" s="268"/>
      <c r="G222" s="285"/>
      <c r="H222" s="269"/>
      <c r="I222" s="278"/>
      <c r="J222" s="278"/>
      <c r="K222" s="270"/>
      <c r="L222" s="270"/>
      <c r="M222" s="5">
        <v>1</v>
      </c>
      <c r="N222" s="277"/>
      <c r="O222" s="277"/>
      <c r="P222" s="274"/>
      <c r="Q222" s="275"/>
    </row>
    <row r="223" spans="1:18" hidden="1">
      <c r="A223" s="283"/>
      <c r="B223" s="266"/>
      <c r="C223" s="266"/>
      <c r="D223" s="267"/>
      <c r="E223" s="266"/>
      <c r="F223" s="268"/>
      <c r="G223" s="285"/>
      <c r="H223" s="269"/>
      <c r="I223" s="278"/>
      <c r="J223" s="278"/>
      <c r="K223" s="270"/>
      <c r="L223" s="270"/>
      <c r="M223" s="5">
        <v>1</v>
      </c>
      <c r="N223" s="277"/>
      <c r="O223" s="277"/>
      <c r="P223" s="274"/>
      <c r="Q223" s="275"/>
    </row>
    <row r="224" spans="1:18" ht="55.2">
      <c r="A224" s="23" t="s">
        <v>744</v>
      </c>
      <c r="B224" s="3" t="s">
        <v>745</v>
      </c>
      <c r="C224" s="3" t="s">
        <v>794</v>
      </c>
      <c r="D224" s="7" t="s">
        <v>24</v>
      </c>
      <c r="E224" s="3">
        <v>2</v>
      </c>
      <c r="F224" s="4" t="s">
        <v>814</v>
      </c>
      <c r="G224" s="4" t="s">
        <v>815</v>
      </c>
      <c r="H224" s="11" t="s">
        <v>21</v>
      </c>
      <c r="I224" s="15" t="s">
        <v>21</v>
      </c>
      <c r="J224" s="15" t="s">
        <v>816</v>
      </c>
      <c r="K224" s="11" t="s">
        <v>21</v>
      </c>
      <c r="L224" s="5" t="s">
        <v>31</v>
      </c>
      <c r="M224" s="5"/>
      <c r="N224" s="277"/>
      <c r="O224" s="277"/>
      <c r="P224" s="202" t="s">
        <v>2590</v>
      </c>
      <c r="Q224" s="201">
        <v>220</v>
      </c>
    </row>
    <row r="225" spans="1:17" hidden="1">
      <c r="A225" s="283"/>
      <c r="B225" s="266"/>
      <c r="C225" s="266"/>
      <c r="D225" s="267"/>
      <c r="E225" s="266"/>
      <c r="F225" s="268"/>
      <c r="G225" s="268"/>
      <c r="H225" s="269"/>
      <c r="I225" s="278"/>
      <c r="J225" s="278"/>
      <c r="K225" s="270"/>
      <c r="L225" s="270"/>
      <c r="M225" s="5">
        <v>1</v>
      </c>
      <c r="N225" s="277"/>
      <c r="O225" s="277"/>
      <c r="P225" s="274"/>
      <c r="Q225" s="275"/>
    </row>
    <row r="226" spans="1:17" hidden="1">
      <c r="A226" s="283"/>
      <c r="B226" s="266"/>
      <c r="C226" s="266"/>
      <c r="D226" s="267"/>
      <c r="E226" s="266"/>
      <c r="F226" s="268"/>
      <c r="G226" s="285"/>
      <c r="H226" s="269"/>
      <c r="I226" s="278"/>
      <c r="J226" s="278"/>
      <c r="K226" s="270"/>
      <c r="L226" s="270"/>
      <c r="M226" s="5">
        <v>1</v>
      </c>
      <c r="N226" s="277"/>
      <c r="O226" s="277"/>
      <c r="P226" s="274"/>
      <c r="Q226" s="275"/>
    </row>
    <row r="227" spans="1:17" hidden="1">
      <c r="A227" s="283"/>
      <c r="B227" s="266"/>
      <c r="C227" s="266"/>
      <c r="D227" s="267"/>
      <c r="E227" s="266"/>
      <c r="F227" s="268"/>
      <c r="G227" s="285"/>
      <c r="H227" s="269"/>
      <c r="I227" s="278"/>
      <c r="J227" s="278"/>
      <c r="K227" s="269"/>
      <c r="L227" s="270"/>
      <c r="M227" s="5"/>
      <c r="N227" s="277"/>
      <c r="O227" s="277"/>
      <c r="P227" s="274"/>
      <c r="Q227" s="275"/>
    </row>
    <row r="228" spans="1:17" hidden="1">
      <c r="A228" s="283"/>
      <c r="B228" s="266"/>
      <c r="C228" s="266"/>
      <c r="D228" s="267"/>
      <c r="E228" s="266"/>
      <c r="F228" s="268"/>
      <c r="G228" s="285"/>
      <c r="H228" s="269"/>
      <c r="I228" s="278"/>
      <c r="J228" s="278"/>
      <c r="K228" s="269"/>
      <c r="L228" s="270"/>
      <c r="M228" s="5"/>
      <c r="N228" s="277"/>
      <c r="O228" s="277"/>
      <c r="P228" s="274"/>
      <c r="Q228" s="275"/>
    </row>
    <row r="229" spans="1:17" hidden="1">
      <c r="A229" s="283"/>
      <c r="B229" s="266"/>
      <c r="C229" s="266"/>
      <c r="D229" s="267"/>
      <c r="E229" s="266"/>
      <c r="F229" s="268"/>
      <c r="G229" s="268"/>
      <c r="H229" s="269"/>
      <c r="I229" s="278"/>
      <c r="J229" s="278"/>
      <c r="K229" s="269"/>
      <c r="L229" s="270"/>
      <c r="M229" s="5"/>
      <c r="N229" s="277"/>
      <c r="O229" s="277"/>
      <c r="P229" s="274"/>
      <c r="Q229" s="275"/>
    </row>
    <row r="230" spans="1:17" hidden="1">
      <c r="A230" s="283"/>
      <c r="B230" s="266"/>
      <c r="C230" s="266"/>
      <c r="D230" s="267"/>
      <c r="E230" s="266"/>
      <c r="F230" s="268"/>
      <c r="G230" s="268"/>
      <c r="H230" s="269"/>
      <c r="I230" s="278"/>
      <c r="J230" s="278"/>
      <c r="K230" s="270"/>
      <c r="L230" s="270"/>
      <c r="M230" s="5"/>
      <c r="N230" s="277"/>
      <c r="O230" s="277"/>
      <c r="P230" s="274"/>
      <c r="Q230" s="275"/>
    </row>
    <row r="231" spans="1:17" hidden="1">
      <c r="A231" s="283"/>
      <c r="B231" s="266"/>
      <c r="C231" s="266"/>
      <c r="D231" s="289"/>
      <c r="E231" s="266"/>
      <c r="F231" s="268"/>
      <c r="G231" s="272"/>
      <c r="H231" s="269"/>
      <c r="I231" s="278"/>
      <c r="J231" s="278"/>
      <c r="K231" s="270"/>
      <c r="L231" s="270"/>
      <c r="M231" s="5"/>
      <c r="N231" s="277"/>
      <c r="O231" s="277"/>
      <c r="P231" s="274"/>
      <c r="Q231" s="275"/>
    </row>
    <row r="232" spans="1:17" hidden="1">
      <c r="A232" s="283"/>
      <c r="B232" s="266"/>
      <c r="C232" s="266"/>
      <c r="D232" s="267"/>
      <c r="E232" s="266"/>
      <c r="F232" s="268"/>
      <c r="G232" s="268"/>
      <c r="H232" s="269"/>
      <c r="I232" s="278"/>
      <c r="J232" s="278"/>
      <c r="K232" s="269"/>
      <c r="L232" s="270"/>
      <c r="M232" s="5"/>
      <c r="N232" s="277"/>
      <c r="O232" s="277"/>
      <c r="P232" s="274"/>
      <c r="Q232" s="275"/>
    </row>
    <row r="233" spans="1:17" hidden="1">
      <c r="A233" s="283"/>
      <c r="B233" s="266"/>
      <c r="C233" s="266"/>
      <c r="D233" s="267"/>
      <c r="E233" s="266"/>
      <c r="F233" s="268"/>
      <c r="G233" s="268"/>
      <c r="H233" s="269"/>
      <c r="I233" s="278"/>
      <c r="J233" s="278"/>
      <c r="K233" s="269"/>
      <c r="L233" s="270"/>
      <c r="M233" s="5"/>
      <c r="N233" s="279"/>
      <c r="O233" s="279"/>
      <c r="P233" s="274"/>
      <c r="Q233" s="275"/>
    </row>
    <row r="234" spans="1:17" hidden="1">
      <c r="A234" s="283"/>
      <c r="B234" s="266"/>
      <c r="C234" s="266"/>
      <c r="D234" s="267"/>
      <c r="E234" s="266"/>
      <c r="F234" s="268"/>
      <c r="G234" s="268"/>
      <c r="H234" s="269"/>
      <c r="I234" s="278"/>
      <c r="J234" s="278"/>
      <c r="K234" s="269"/>
      <c r="L234" s="270"/>
      <c r="M234" s="5"/>
      <c r="N234" s="277"/>
      <c r="O234" s="277"/>
      <c r="P234" s="274"/>
      <c r="Q234" s="275"/>
    </row>
    <row r="235" spans="1:17" hidden="1">
      <c r="A235" s="283"/>
      <c r="B235" s="266"/>
      <c r="C235" s="266"/>
      <c r="D235" s="267"/>
      <c r="E235" s="266"/>
      <c r="F235" s="268"/>
      <c r="G235" s="268"/>
      <c r="H235" s="269"/>
      <c r="I235" s="278"/>
      <c r="J235" s="278"/>
      <c r="K235" s="270"/>
      <c r="L235" s="270"/>
      <c r="M235" s="5"/>
      <c r="N235" s="277"/>
      <c r="O235" s="277"/>
      <c r="P235" s="274"/>
      <c r="Q235" s="275"/>
    </row>
    <row r="236" spans="1:17" hidden="1">
      <c r="A236" s="283"/>
      <c r="B236" s="266"/>
      <c r="C236" s="266"/>
      <c r="D236" s="267"/>
      <c r="E236" s="266"/>
      <c r="F236" s="268"/>
      <c r="G236" s="285"/>
      <c r="H236" s="269"/>
      <c r="I236" s="278"/>
      <c r="J236" s="278"/>
      <c r="K236" s="269"/>
      <c r="L236" s="270"/>
      <c r="M236" s="5"/>
      <c r="N236" s="277"/>
      <c r="O236" s="277"/>
      <c r="P236" s="274"/>
      <c r="Q236" s="275"/>
    </row>
    <row r="237" spans="1:17" hidden="1">
      <c r="A237" s="283"/>
      <c r="B237" s="266"/>
      <c r="C237" s="266"/>
      <c r="D237" s="267"/>
      <c r="E237" s="266"/>
      <c r="F237" s="268"/>
      <c r="G237" s="285"/>
      <c r="H237" s="269"/>
      <c r="I237" s="278"/>
      <c r="J237" s="278"/>
      <c r="K237" s="269"/>
      <c r="L237" s="270"/>
      <c r="M237" s="5"/>
      <c r="N237" s="277"/>
      <c r="O237" s="277"/>
      <c r="P237" s="274"/>
      <c r="Q237" s="275"/>
    </row>
    <row r="238" spans="1:17" hidden="1">
      <c r="A238" s="283"/>
      <c r="B238" s="266"/>
      <c r="C238" s="266"/>
      <c r="D238" s="289"/>
      <c r="E238" s="266"/>
      <c r="F238" s="268"/>
      <c r="G238" s="272"/>
      <c r="H238" s="269"/>
      <c r="I238" s="278"/>
      <c r="J238" s="278"/>
      <c r="K238" s="269"/>
      <c r="L238" s="270"/>
      <c r="M238" s="5"/>
      <c r="N238" s="277"/>
      <c r="O238" s="277"/>
      <c r="P238" s="274"/>
      <c r="Q238" s="275"/>
    </row>
    <row r="239" spans="1:17" hidden="1">
      <c r="A239" s="283"/>
      <c r="B239" s="266"/>
      <c r="C239" s="266"/>
      <c r="D239" s="267"/>
      <c r="E239" s="266"/>
      <c r="F239" s="268"/>
      <c r="G239" s="268"/>
      <c r="H239" s="269"/>
      <c r="I239" s="278"/>
      <c r="J239" s="278"/>
      <c r="K239" s="269"/>
      <c r="L239" s="270"/>
      <c r="M239" s="5"/>
      <c r="N239" s="277"/>
      <c r="O239" s="277"/>
      <c r="P239" s="274"/>
      <c r="Q239" s="275"/>
    </row>
    <row r="240" spans="1:17" hidden="1">
      <c r="A240" s="266"/>
      <c r="B240" s="266"/>
      <c r="C240" s="266"/>
      <c r="D240" s="267"/>
      <c r="E240" s="266"/>
      <c r="F240" s="268"/>
      <c r="G240" s="268"/>
      <c r="H240" s="269"/>
      <c r="I240" s="278"/>
      <c r="J240" s="278"/>
      <c r="K240" s="269"/>
      <c r="L240" s="270"/>
      <c r="M240" s="5"/>
      <c r="N240" s="279"/>
      <c r="O240" s="279"/>
      <c r="P240" s="274"/>
      <c r="Q240" s="275"/>
    </row>
    <row r="241" spans="1:18" hidden="1">
      <c r="A241" s="266"/>
      <c r="B241" s="266"/>
      <c r="C241" s="266"/>
      <c r="D241" s="267"/>
      <c r="E241" s="266"/>
      <c r="F241" s="268"/>
      <c r="G241" s="268"/>
      <c r="H241" s="269"/>
      <c r="I241" s="278"/>
      <c r="J241" s="278"/>
      <c r="K241" s="270"/>
      <c r="L241" s="270"/>
      <c r="M241" s="5"/>
      <c r="N241" s="279"/>
      <c r="O241" s="279"/>
      <c r="P241" s="274"/>
      <c r="Q241" s="275"/>
      <c r="R241" s="276"/>
    </row>
    <row r="242" spans="1:18" hidden="1">
      <c r="A242" s="266"/>
      <c r="B242" s="266"/>
      <c r="C242" s="266"/>
      <c r="D242" s="267"/>
      <c r="E242" s="266"/>
      <c r="F242" s="268"/>
      <c r="G242" s="285"/>
      <c r="H242" s="269"/>
      <c r="I242" s="278"/>
      <c r="J242" s="278"/>
      <c r="K242" s="270"/>
      <c r="L242" s="270"/>
      <c r="M242" s="5"/>
      <c r="N242" s="277"/>
      <c r="O242" s="277"/>
      <c r="P242" s="274"/>
      <c r="Q242" s="275"/>
      <c r="R242" s="276"/>
    </row>
    <row r="243" spans="1:18" hidden="1">
      <c r="A243" s="266"/>
      <c r="B243" s="266"/>
      <c r="C243" s="266"/>
      <c r="D243" s="267"/>
      <c r="E243" s="266"/>
      <c r="F243" s="268"/>
      <c r="G243" s="268"/>
      <c r="H243" s="269"/>
      <c r="I243" s="278"/>
      <c r="J243" s="278"/>
      <c r="K243" s="270"/>
      <c r="L243" s="270"/>
      <c r="M243" s="5"/>
      <c r="N243" s="277"/>
      <c r="O243" s="277"/>
      <c r="P243" s="274"/>
      <c r="Q243" s="275"/>
      <c r="R243" s="276"/>
    </row>
    <row r="244" spans="1:18" ht="69">
      <c r="A244" s="3" t="s">
        <v>866</v>
      </c>
      <c r="B244" s="3" t="s">
        <v>867</v>
      </c>
      <c r="C244" s="3" t="s">
        <v>868</v>
      </c>
      <c r="D244" s="7" t="s">
        <v>24</v>
      </c>
      <c r="E244" s="3">
        <v>2</v>
      </c>
      <c r="F244" s="4" t="s">
        <v>884</v>
      </c>
      <c r="G244" s="4" t="s">
        <v>885</v>
      </c>
      <c r="H244" s="11" t="s">
        <v>55</v>
      </c>
      <c r="I244" s="15" t="s">
        <v>886</v>
      </c>
      <c r="J244" s="15" t="s">
        <v>887</v>
      </c>
      <c r="K244" s="5" t="s">
        <v>31</v>
      </c>
      <c r="L244" s="5" t="s">
        <v>31</v>
      </c>
      <c r="M244" s="5">
        <v>1</v>
      </c>
      <c r="N244" s="277"/>
      <c r="O244" s="277"/>
      <c r="P244" s="202" t="s">
        <v>2585</v>
      </c>
      <c r="Q244" s="201">
        <v>240</v>
      </c>
    </row>
    <row r="245" spans="1:18" ht="165.6">
      <c r="A245" s="3" t="s">
        <v>866</v>
      </c>
      <c r="B245" s="3" t="s">
        <v>867</v>
      </c>
      <c r="C245" s="3" t="s">
        <v>868</v>
      </c>
      <c r="D245" s="7" t="s">
        <v>24</v>
      </c>
      <c r="E245" s="3">
        <v>2</v>
      </c>
      <c r="F245" s="4" t="s">
        <v>888</v>
      </c>
      <c r="G245" s="4" t="s">
        <v>889</v>
      </c>
      <c r="H245" s="11" t="s">
        <v>55</v>
      </c>
      <c r="I245" s="15" t="s">
        <v>890</v>
      </c>
      <c r="J245" s="15" t="s">
        <v>891</v>
      </c>
      <c r="K245" s="5" t="s">
        <v>31</v>
      </c>
      <c r="L245" s="5" t="s">
        <v>31</v>
      </c>
      <c r="M245" s="5">
        <v>1</v>
      </c>
      <c r="N245" s="277"/>
      <c r="O245" s="277"/>
      <c r="P245" s="202" t="s">
        <v>2585</v>
      </c>
      <c r="Q245" s="201">
        <v>241</v>
      </c>
    </row>
    <row r="246" spans="1:18" hidden="1">
      <c r="A246" s="266"/>
      <c r="B246" s="266"/>
      <c r="C246" s="266"/>
      <c r="D246" s="267"/>
      <c r="E246" s="266"/>
      <c r="F246" s="268"/>
      <c r="G246" s="285"/>
      <c r="H246" s="269"/>
      <c r="I246" s="278"/>
      <c r="J246" s="278"/>
      <c r="K246" s="269"/>
      <c r="L246" s="270"/>
      <c r="M246" s="5"/>
      <c r="N246" s="277"/>
      <c r="O246" s="277"/>
      <c r="P246" s="274"/>
      <c r="Q246" s="275"/>
    </row>
    <row r="247" spans="1:18" hidden="1">
      <c r="A247" s="266"/>
      <c r="B247" s="266"/>
      <c r="C247" s="266"/>
      <c r="D247" s="267"/>
      <c r="E247" s="266"/>
      <c r="F247" s="268"/>
      <c r="G247" s="268"/>
      <c r="H247" s="269"/>
      <c r="I247" s="278"/>
      <c r="J247" s="278"/>
      <c r="K247" s="270"/>
      <c r="L247" s="270"/>
      <c r="M247" s="5">
        <v>1</v>
      </c>
      <c r="N247" s="277"/>
      <c r="O247" s="277"/>
      <c r="P247" s="274"/>
      <c r="Q247" s="275"/>
    </row>
    <row r="248" spans="1:18" hidden="1">
      <c r="A248" s="266"/>
      <c r="B248" s="266"/>
      <c r="C248" s="266"/>
      <c r="D248" s="267"/>
      <c r="E248" s="266"/>
      <c r="F248" s="268"/>
      <c r="G248" s="268"/>
      <c r="H248" s="269"/>
      <c r="I248" s="278"/>
      <c r="J248" s="278"/>
      <c r="K248" s="270"/>
      <c r="L248" s="270"/>
      <c r="M248" s="5">
        <v>1</v>
      </c>
      <c r="N248" s="277"/>
      <c r="O248" s="277"/>
      <c r="P248" s="274"/>
      <c r="Q248" s="275"/>
    </row>
    <row r="249" spans="1:18" hidden="1">
      <c r="A249" s="266"/>
      <c r="B249" s="266"/>
      <c r="C249" s="266"/>
      <c r="D249" s="267"/>
      <c r="E249" s="266"/>
      <c r="F249" s="268"/>
      <c r="G249" s="268"/>
      <c r="H249" s="269"/>
      <c r="I249" s="278"/>
      <c r="J249" s="278"/>
      <c r="K249" s="269"/>
      <c r="L249" s="270"/>
      <c r="M249" s="5"/>
      <c r="N249" s="277"/>
      <c r="O249" s="277"/>
      <c r="P249" s="274"/>
      <c r="Q249" s="275"/>
    </row>
    <row r="250" spans="1:18" hidden="1">
      <c r="A250" s="266"/>
      <c r="B250" s="266"/>
      <c r="C250" s="266"/>
      <c r="D250" s="267"/>
      <c r="E250" s="266"/>
      <c r="F250" s="268"/>
      <c r="G250" s="268"/>
      <c r="H250" s="269"/>
      <c r="I250" s="278"/>
      <c r="J250" s="278"/>
      <c r="K250" s="269"/>
      <c r="L250" s="270"/>
      <c r="M250" s="5"/>
      <c r="N250" s="277"/>
      <c r="O250" s="277"/>
      <c r="P250" s="274"/>
      <c r="Q250" s="275"/>
    </row>
    <row r="251" spans="1:18" hidden="1">
      <c r="A251" s="266"/>
      <c r="B251" s="266"/>
      <c r="C251" s="266"/>
      <c r="D251" s="267"/>
      <c r="E251" s="266"/>
      <c r="F251" s="268"/>
      <c r="G251" s="285"/>
      <c r="H251" s="269"/>
      <c r="I251" s="278"/>
      <c r="J251" s="278"/>
      <c r="K251" s="269"/>
      <c r="L251" s="270"/>
      <c r="M251" s="5"/>
      <c r="N251" s="277"/>
      <c r="O251" s="277"/>
      <c r="P251" s="274"/>
      <c r="Q251" s="275"/>
    </row>
    <row r="252" spans="1:18" hidden="1">
      <c r="A252" s="266"/>
      <c r="B252" s="266"/>
      <c r="C252" s="266"/>
      <c r="D252" s="267"/>
      <c r="E252" s="266"/>
      <c r="F252" s="268"/>
      <c r="G252" s="285"/>
      <c r="H252" s="269"/>
      <c r="I252" s="278"/>
      <c r="J252" s="278"/>
      <c r="K252" s="269"/>
      <c r="L252" s="270"/>
      <c r="M252" s="5"/>
      <c r="N252" s="277"/>
      <c r="O252" s="277"/>
      <c r="P252" s="274"/>
      <c r="Q252" s="275"/>
    </row>
    <row r="253" spans="1:18" hidden="1">
      <c r="A253" s="266"/>
      <c r="B253" s="266"/>
      <c r="C253" s="266"/>
      <c r="D253" s="289"/>
      <c r="E253" s="266"/>
      <c r="F253" s="268"/>
      <c r="G253" s="272"/>
      <c r="H253" s="269"/>
      <c r="I253" s="278"/>
      <c r="J253" s="278"/>
      <c r="K253" s="270"/>
      <c r="L253" s="270"/>
      <c r="M253" s="5"/>
      <c r="N253" s="277"/>
      <c r="O253" s="277"/>
      <c r="P253" s="274"/>
      <c r="Q253" s="275"/>
    </row>
    <row r="254" spans="1:18" hidden="1">
      <c r="A254" s="266"/>
      <c r="B254" s="266"/>
      <c r="C254" s="266"/>
      <c r="D254" s="267"/>
      <c r="E254" s="266"/>
      <c r="F254" s="272"/>
      <c r="G254" s="272"/>
      <c r="H254" s="269"/>
      <c r="I254" s="278"/>
      <c r="J254" s="278"/>
      <c r="K254" s="269"/>
      <c r="L254" s="270"/>
      <c r="M254" s="5"/>
      <c r="N254" s="277"/>
      <c r="O254" s="277"/>
      <c r="P254" s="274"/>
      <c r="Q254" s="275"/>
    </row>
    <row r="255" spans="1:18" ht="67.05" customHeight="1">
      <c r="A255" s="3" t="s">
        <v>866</v>
      </c>
      <c r="B255" s="3" t="s">
        <v>867</v>
      </c>
      <c r="C255" s="3" t="s">
        <v>919</v>
      </c>
      <c r="D255" s="6" t="s">
        <v>18</v>
      </c>
      <c r="E255" s="3">
        <v>1</v>
      </c>
      <c r="F255" s="4" t="s">
        <v>920</v>
      </c>
      <c r="G255" s="2" t="s">
        <v>921</v>
      </c>
      <c r="H255" s="11" t="s">
        <v>21</v>
      </c>
      <c r="I255" s="15" t="s">
        <v>21</v>
      </c>
      <c r="J255" s="15" t="s">
        <v>922</v>
      </c>
      <c r="K255" s="11" t="s">
        <v>21</v>
      </c>
      <c r="L255" s="5" t="s">
        <v>23</v>
      </c>
      <c r="M255" s="5"/>
      <c r="N255" s="277"/>
      <c r="O255" s="277" t="s">
        <v>2545</v>
      </c>
      <c r="P255" s="202" t="s">
        <v>2585</v>
      </c>
      <c r="Q255" s="201">
        <v>251</v>
      </c>
    </row>
    <row r="256" spans="1:18" ht="165.6">
      <c r="A256" s="3" t="s">
        <v>866</v>
      </c>
      <c r="B256" s="3" t="s">
        <v>867</v>
      </c>
      <c r="C256" s="3" t="s">
        <v>919</v>
      </c>
      <c r="D256" s="7" t="s">
        <v>24</v>
      </c>
      <c r="E256" s="3">
        <v>2</v>
      </c>
      <c r="F256" s="4" t="s">
        <v>923</v>
      </c>
      <c r="G256" s="2" t="s">
        <v>924</v>
      </c>
      <c r="H256" s="11" t="s">
        <v>55</v>
      </c>
      <c r="I256" s="15" t="s">
        <v>925</v>
      </c>
      <c r="J256" s="15" t="s">
        <v>926</v>
      </c>
      <c r="K256" s="5" t="s">
        <v>31</v>
      </c>
      <c r="L256" s="5" t="s">
        <v>31</v>
      </c>
      <c r="M256" s="5">
        <v>1</v>
      </c>
      <c r="N256" s="277" t="s">
        <v>2637</v>
      </c>
      <c r="O256" s="277" t="s">
        <v>2545</v>
      </c>
      <c r="P256" s="202" t="s">
        <v>2585</v>
      </c>
      <c r="Q256" s="201">
        <v>252</v>
      </c>
    </row>
    <row r="257" spans="1:17" ht="27.6">
      <c r="A257" s="3" t="s">
        <v>866</v>
      </c>
      <c r="B257" s="3" t="s">
        <v>867</v>
      </c>
      <c r="C257" s="3" t="s">
        <v>919</v>
      </c>
      <c r="D257" s="7" t="s">
        <v>24</v>
      </c>
      <c r="E257" s="3">
        <v>2</v>
      </c>
      <c r="F257" s="4" t="s">
        <v>927</v>
      </c>
      <c r="G257" s="2" t="s">
        <v>928</v>
      </c>
      <c r="H257" s="11" t="s">
        <v>55</v>
      </c>
      <c r="I257" s="15" t="s">
        <v>929</v>
      </c>
      <c r="J257" s="15" t="s">
        <v>930</v>
      </c>
      <c r="K257" s="5" t="s">
        <v>31</v>
      </c>
      <c r="L257" s="5" t="s">
        <v>31</v>
      </c>
      <c r="M257" s="5"/>
      <c r="N257" s="277"/>
      <c r="O257" s="277"/>
      <c r="P257" s="202" t="s">
        <v>2585</v>
      </c>
      <c r="Q257" s="201">
        <v>253</v>
      </c>
    </row>
    <row r="258" spans="1:17" ht="82.8">
      <c r="A258" s="3" t="s">
        <v>866</v>
      </c>
      <c r="B258" s="3" t="s">
        <v>867</v>
      </c>
      <c r="C258" s="3" t="s">
        <v>919</v>
      </c>
      <c r="D258" s="7" t="s">
        <v>24</v>
      </c>
      <c r="E258" s="3">
        <v>2</v>
      </c>
      <c r="F258" s="4" t="s">
        <v>931</v>
      </c>
      <c r="G258" s="4" t="s">
        <v>932</v>
      </c>
      <c r="H258" s="11" t="s">
        <v>55</v>
      </c>
      <c r="I258" s="15" t="s">
        <v>933</v>
      </c>
      <c r="J258" s="15" t="s">
        <v>934</v>
      </c>
      <c r="K258" s="5" t="s">
        <v>31</v>
      </c>
      <c r="L258" s="5" t="s">
        <v>31</v>
      </c>
      <c r="M258" s="5"/>
      <c r="N258" s="277"/>
      <c r="O258" s="277"/>
      <c r="P258" s="202" t="s">
        <v>2585</v>
      </c>
      <c r="Q258" s="201">
        <v>254</v>
      </c>
    </row>
    <row r="259" spans="1:17" ht="55.2">
      <c r="A259" s="3" t="s">
        <v>866</v>
      </c>
      <c r="B259" s="3" t="s">
        <v>867</v>
      </c>
      <c r="C259" s="3" t="s">
        <v>919</v>
      </c>
      <c r="D259" s="7" t="s">
        <v>24</v>
      </c>
      <c r="E259" s="3">
        <v>2</v>
      </c>
      <c r="F259" s="4" t="s">
        <v>935</v>
      </c>
      <c r="G259" s="4" t="s">
        <v>936</v>
      </c>
      <c r="H259" s="11" t="s">
        <v>181</v>
      </c>
      <c r="I259" s="15" t="s">
        <v>937</v>
      </c>
      <c r="J259" s="15" t="s">
        <v>938</v>
      </c>
      <c r="K259" s="5" t="s">
        <v>31</v>
      </c>
      <c r="L259" s="5" t="s">
        <v>31</v>
      </c>
      <c r="M259" s="5"/>
      <c r="N259" s="277"/>
      <c r="O259" s="277"/>
      <c r="P259" s="202" t="s">
        <v>2585</v>
      </c>
      <c r="Q259" s="201">
        <v>255</v>
      </c>
    </row>
    <row r="260" spans="1:17" ht="41.4">
      <c r="A260" s="3" t="s">
        <v>866</v>
      </c>
      <c r="B260" s="3" t="s">
        <v>867</v>
      </c>
      <c r="C260" s="3" t="s">
        <v>919</v>
      </c>
      <c r="D260" s="7" t="s">
        <v>24</v>
      </c>
      <c r="E260" s="3">
        <v>2</v>
      </c>
      <c r="F260" s="4" t="s">
        <v>939</v>
      </c>
      <c r="G260" s="2" t="s">
        <v>940</v>
      </c>
      <c r="H260" s="11" t="s">
        <v>21</v>
      </c>
      <c r="I260" s="15" t="s">
        <v>21</v>
      </c>
      <c r="J260" s="15" t="s">
        <v>941</v>
      </c>
      <c r="K260" s="11" t="s">
        <v>21</v>
      </c>
      <c r="L260" s="5" t="s">
        <v>31</v>
      </c>
      <c r="M260" s="5"/>
      <c r="N260" s="277"/>
      <c r="O260" s="277"/>
      <c r="P260" s="202" t="s">
        <v>2585</v>
      </c>
      <c r="Q260" s="201">
        <v>256</v>
      </c>
    </row>
    <row r="261" spans="1:17" hidden="1">
      <c r="A261" s="266"/>
      <c r="B261" s="266"/>
      <c r="C261" s="266"/>
      <c r="D261" s="267"/>
      <c r="E261" s="266"/>
      <c r="F261" s="268"/>
      <c r="G261" s="268"/>
      <c r="H261" s="269"/>
      <c r="I261" s="278"/>
      <c r="J261" s="278"/>
      <c r="K261" s="270"/>
      <c r="L261" s="270"/>
      <c r="M261" s="5">
        <v>1</v>
      </c>
      <c r="N261" s="277"/>
      <c r="O261" s="277"/>
      <c r="P261" s="274"/>
      <c r="Q261" s="275"/>
    </row>
    <row r="262" spans="1:17" hidden="1">
      <c r="A262" s="266"/>
      <c r="B262" s="266"/>
      <c r="C262" s="266"/>
      <c r="D262" s="267"/>
      <c r="E262" s="266"/>
      <c r="F262" s="268"/>
      <c r="G262" s="268"/>
      <c r="H262" s="269"/>
      <c r="I262" s="278"/>
      <c r="J262" s="278"/>
      <c r="K262" s="269"/>
      <c r="L262" s="270"/>
      <c r="M262" s="5"/>
      <c r="N262" s="277"/>
      <c r="O262" s="277"/>
      <c r="P262" s="274"/>
      <c r="Q262" s="275"/>
    </row>
    <row r="263" spans="1:17" hidden="1">
      <c r="A263" s="266"/>
      <c r="B263" s="266"/>
      <c r="C263" s="266"/>
      <c r="D263" s="267"/>
      <c r="E263" s="266"/>
      <c r="F263" s="268"/>
      <c r="G263" s="268"/>
      <c r="H263" s="269"/>
      <c r="I263" s="278"/>
      <c r="J263" s="278"/>
      <c r="K263" s="270"/>
      <c r="L263" s="270"/>
      <c r="M263" s="5"/>
      <c r="N263" s="277"/>
      <c r="O263" s="277"/>
      <c r="P263" s="274"/>
      <c r="Q263" s="275"/>
    </row>
    <row r="264" spans="1:17" hidden="1">
      <c r="A264" s="266"/>
      <c r="B264" s="266"/>
      <c r="C264" s="266"/>
      <c r="D264" s="289"/>
      <c r="E264" s="266"/>
      <c r="F264" s="268"/>
      <c r="G264" s="268"/>
      <c r="H264" s="269"/>
      <c r="I264" s="278"/>
      <c r="J264" s="278"/>
      <c r="K264" s="269"/>
      <c r="L264" s="270"/>
      <c r="M264" s="5"/>
      <c r="N264" s="277"/>
      <c r="O264" s="277"/>
      <c r="P264" s="274"/>
      <c r="Q264" s="275"/>
    </row>
    <row r="265" spans="1:17" hidden="1">
      <c r="A265" s="266"/>
      <c r="B265" s="266"/>
      <c r="C265" s="266"/>
      <c r="D265" s="267"/>
      <c r="E265" s="266"/>
      <c r="F265" s="268"/>
      <c r="G265" s="268"/>
      <c r="H265" s="269"/>
      <c r="I265" s="278"/>
      <c r="J265" s="278"/>
      <c r="K265" s="269"/>
      <c r="L265" s="270"/>
      <c r="M265" s="5"/>
      <c r="N265" s="277"/>
      <c r="O265" s="277"/>
      <c r="P265" s="274"/>
      <c r="Q265" s="275"/>
    </row>
    <row r="266" spans="1:17" hidden="1">
      <c r="A266" s="266"/>
      <c r="B266" s="266"/>
      <c r="C266" s="266"/>
      <c r="D266" s="267"/>
      <c r="E266" s="266"/>
      <c r="F266" s="268"/>
      <c r="G266" s="268"/>
      <c r="H266" s="269"/>
      <c r="I266" s="278"/>
      <c r="J266" s="278"/>
      <c r="K266" s="269"/>
      <c r="L266" s="270"/>
      <c r="M266" s="5"/>
      <c r="N266" s="277"/>
      <c r="O266" s="277"/>
      <c r="P266" s="274"/>
      <c r="Q266" s="275"/>
    </row>
    <row r="267" spans="1:17" ht="41.4">
      <c r="A267" s="3" t="s">
        <v>866</v>
      </c>
      <c r="B267" s="3" t="s">
        <v>867</v>
      </c>
      <c r="C267" s="3" t="s">
        <v>961</v>
      </c>
      <c r="D267" s="6" t="s">
        <v>18</v>
      </c>
      <c r="E267" s="3">
        <v>1</v>
      </c>
      <c r="F267" s="4" t="s">
        <v>962</v>
      </c>
      <c r="G267" s="2" t="s">
        <v>963</v>
      </c>
      <c r="H267" s="11" t="s">
        <v>21</v>
      </c>
      <c r="I267" s="15" t="s">
        <v>21</v>
      </c>
      <c r="J267" s="15" t="s">
        <v>964</v>
      </c>
      <c r="K267" s="11" t="s">
        <v>21</v>
      </c>
      <c r="L267" s="5" t="s">
        <v>23</v>
      </c>
      <c r="M267" s="5"/>
      <c r="N267" s="277"/>
      <c r="O267" s="277" t="s">
        <v>2505</v>
      </c>
      <c r="P267" s="202" t="s">
        <v>2585</v>
      </c>
      <c r="Q267" s="201">
        <v>263</v>
      </c>
    </row>
    <row r="268" spans="1:17" ht="110.4">
      <c r="A268" s="3" t="s">
        <v>866</v>
      </c>
      <c r="B268" s="3" t="s">
        <v>867</v>
      </c>
      <c r="C268" s="3" t="s">
        <v>961</v>
      </c>
      <c r="D268" s="7" t="s">
        <v>24</v>
      </c>
      <c r="E268" s="3">
        <v>2</v>
      </c>
      <c r="F268" s="4" t="s">
        <v>965</v>
      </c>
      <c r="G268" s="4" t="s">
        <v>966</v>
      </c>
      <c r="H268" s="11" t="s">
        <v>55</v>
      </c>
      <c r="I268" s="15" t="s">
        <v>967</v>
      </c>
      <c r="J268" s="15" t="s">
        <v>968</v>
      </c>
      <c r="K268" s="5" t="s">
        <v>31</v>
      </c>
      <c r="L268" s="5" t="s">
        <v>31</v>
      </c>
      <c r="M268" s="5"/>
      <c r="N268" s="277"/>
      <c r="O268" s="277"/>
      <c r="P268" s="202" t="s">
        <v>2585</v>
      </c>
      <c r="Q268" s="201">
        <v>264</v>
      </c>
    </row>
    <row r="269" spans="1:17" ht="165.6">
      <c r="A269" s="3" t="s">
        <v>866</v>
      </c>
      <c r="B269" s="3" t="s">
        <v>867</v>
      </c>
      <c r="C269" s="3" t="s">
        <v>961</v>
      </c>
      <c r="D269" s="7" t="s">
        <v>24</v>
      </c>
      <c r="E269" s="3">
        <v>2</v>
      </c>
      <c r="F269" s="4" t="s">
        <v>969</v>
      </c>
      <c r="G269" s="4" t="s">
        <v>970</v>
      </c>
      <c r="H269" s="11" t="s">
        <v>21</v>
      </c>
      <c r="I269" s="15" t="s">
        <v>21</v>
      </c>
      <c r="J269" s="15" t="s">
        <v>971</v>
      </c>
      <c r="K269" s="11" t="s">
        <v>21</v>
      </c>
      <c r="L269" s="5" t="s">
        <v>31</v>
      </c>
      <c r="M269" s="5"/>
      <c r="N269" s="277" t="s">
        <v>2546</v>
      </c>
      <c r="O269" s="277"/>
      <c r="P269" s="202" t="s">
        <v>2585</v>
      </c>
      <c r="Q269" s="201">
        <v>265</v>
      </c>
    </row>
    <row r="270" spans="1:17" ht="248.4">
      <c r="A270" s="3" t="s">
        <v>866</v>
      </c>
      <c r="B270" s="3" t="s">
        <v>867</v>
      </c>
      <c r="C270" s="3" t="s">
        <v>961</v>
      </c>
      <c r="D270" s="7" t="s">
        <v>24</v>
      </c>
      <c r="E270" s="3">
        <v>2</v>
      </c>
      <c r="F270" s="4" t="s">
        <v>972</v>
      </c>
      <c r="G270" s="4" t="s">
        <v>973</v>
      </c>
      <c r="H270" s="11" t="s">
        <v>55</v>
      </c>
      <c r="I270" s="15" t="s">
        <v>974</v>
      </c>
      <c r="J270" s="15" t="s">
        <v>975</v>
      </c>
      <c r="K270" s="5" t="s">
        <v>31</v>
      </c>
      <c r="L270" s="5" t="s">
        <v>31</v>
      </c>
      <c r="M270" s="5"/>
      <c r="N270" s="277"/>
      <c r="O270" s="277"/>
      <c r="P270" s="202" t="s">
        <v>2585</v>
      </c>
      <c r="Q270" s="201">
        <v>266</v>
      </c>
    </row>
    <row r="271" spans="1:17" ht="41.4">
      <c r="A271" s="3" t="s">
        <v>866</v>
      </c>
      <c r="B271" s="3" t="s">
        <v>867</v>
      </c>
      <c r="C271" s="3" t="s">
        <v>961</v>
      </c>
      <c r="D271" s="7" t="s">
        <v>24</v>
      </c>
      <c r="E271" s="3">
        <v>2</v>
      </c>
      <c r="F271" s="4" t="s">
        <v>976</v>
      </c>
      <c r="G271" s="2" t="s">
        <v>977</v>
      </c>
      <c r="H271" s="11" t="s">
        <v>21</v>
      </c>
      <c r="I271" s="15" t="s">
        <v>21</v>
      </c>
      <c r="J271" s="15" t="s">
        <v>978</v>
      </c>
      <c r="K271" s="11" t="s">
        <v>21</v>
      </c>
      <c r="L271" s="5" t="s">
        <v>31</v>
      </c>
      <c r="M271" s="5"/>
      <c r="N271" s="277"/>
      <c r="O271" s="277"/>
      <c r="P271" s="202" t="s">
        <v>2585</v>
      </c>
      <c r="Q271" s="201">
        <v>267</v>
      </c>
    </row>
    <row r="272" spans="1:17" hidden="1">
      <c r="A272" s="266"/>
      <c r="B272" s="266"/>
      <c r="C272" s="266"/>
      <c r="D272" s="267"/>
      <c r="E272" s="266"/>
      <c r="F272" s="268"/>
      <c r="G272" s="268"/>
      <c r="H272" s="269"/>
      <c r="I272" s="278"/>
      <c r="J272" s="278"/>
      <c r="K272" s="269"/>
      <c r="L272" s="270"/>
      <c r="M272" s="5"/>
      <c r="N272" s="277"/>
      <c r="O272" s="277"/>
      <c r="P272" s="274"/>
      <c r="Q272" s="275"/>
    </row>
    <row r="273" spans="1:17" hidden="1">
      <c r="A273" s="266"/>
      <c r="B273" s="266"/>
      <c r="C273" s="266"/>
      <c r="D273" s="267"/>
      <c r="E273" s="266"/>
      <c r="F273" s="268"/>
      <c r="G273" s="268"/>
      <c r="H273" s="269"/>
      <c r="I273" s="278"/>
      <c r="J273" s="278"/>
      <c r="K273" s="269"/>
      <c r="L273" s="270"/>
      <c r="M273" s="5"/>
      <c r="N273" s="277"/>
      <c r="O273" s="277"/>
      <c r="P273" s="274"/>
      <c r="Q273" s="275"/>
    </row>
    <row r="274" spans="1:17" hidden="1">
      <c r="A274" s="266"/>
      <c r="B274" s="266"/>
      <c r="C274" s="266"/>
      <c r="D274" s="267"/>
      <c r="E274" s="266"/>
      <c r="F274" s="268"/>
      <c r="G274" s="268"/>
      <c r="H274" s="269"/>
      <c r="I274" s="278"/>
      <c r="J274" s="278"/>
      <c r="K274" s="269"/>
      <c r="L274" s="270"/>
      <c r="M274" s="5"/>
      <c r="N274" s="277"/>
      <c r="O274" s="277"/>
      <c r="P274" s="274"/>
      <c r="Q274" s="275"/>
    </row>
    <row r="275" spans="1:17" hidden="1">
      <c r="A275" s="266"/>
      <c r="B275" s="266"/>
      <c r="C275" s="266"/>
      <c r="D275" s="267"/>
      <c r="E275" s="266"/>
      <c r="F275" s="268"/>
      <c r="G275" s="285"/>
      <c r="H275" s="269"/>
      <c r="I275" s="278"/>
      <c r="J275" s="278"/>
      <c r="K275" s="269"/>
      <c r="L275" s="270"/>
      <c r="M275" s="5"/>
      <c r="N275" s="277"/>
      <c r="O275" s="277"/>
      <c r="P275" s="274"/>
      <c r="Q275" s="275"/>
    </row>
    <row r="276" spans="1:17" hidden="1">
      <c r="A276" s="266"/>
      <c r="B276" s="266"/>
      <c r="C276" s="266"/>
      <c r="D276" s="267"/>
      <c r="E276" s="266"/>
      <c r="F276" s="268"/>
      <c r="G276" s="268"/>
      <c r="H276" s="269"/>
      <c r="I276" s="278"/>
      <c r="J276" s="278"/>
      <c r="K276" s="270"/>
      <c r="L276" s="270"/>
      <c r="M276" s="5"/>
      <c r="N276" s="277"/>
      <c r="O276" s="277"/>
      <c r="P276" s="274"/>
      <c r="Q276" s="275"/>
    </row>
    <row r="277" spans="1:17" hidden="1">
      <c r="A277" s="266"/>
      <c r="B277" s="266"/>
      <c r="C277" s="266"/>
      <c r="D277" s="289"/>
      <c r="E277" s="266"/>
      <c r="F277" s="272"/>
      <c r="G277" s="272"/>
      <c r="H277" s="269"/>
      <c r="I277" s="278"/>
      <c r="J277" s="278"/>
      <c r="K277" s="269"/>
      <c r="L277" s="270"/>
      <c r="M277" s="5"/>
      <c r="N277" s="277"/>
      <c r="O277" s="277"/>
      <c r="P277" s="274"/>
      <c r="Q277" s="275"/>
    </row>
    <row r="278" spans="1:17" hidden="1">
      <c r="A278" s="266"/>
      <c r="B278" s="266"/>
      <c r="C278" s="266"/>
      <c r="D278" s="267"/>
      <c r="E278" s="266"/>
      <c r="F278" s="268"/>
      <c r="G278" s="268"/>
      <c r="H278" s="269"/>
      <c r="I278" s="278"/>
      <c r="J278" s="278"/>
      <c r="K278" s="269"/>
      <c r="L278" s="270"/>
      <c r="M278" s="5"/>
      <c r="N278" s="277"/>
      <c r="O278" s="277"/>
      <c r="P278" s="274"/>
      <c r="Q278" s="275"/>
    </row>
    <row r="279" spans="1:17" ht="27.6">
      <c r="A279" s="3" t="s">
        <v>1001</v>
      </c>
      <c r="B279" s="3" t="s">
        <v>1002</v>
      </c>
      <c r="C279" s="3" t="s">
        <v>1003</v>
      </c>
      <c r="D279" s="6" t="s">
        <v>18</v>
      </c>
      <c r="E279" s="3">
        <v>1</v>
      </c>
      <c r="F279" s="4" t="s">
        <v>1004</v>
      </c>
      <c r="G279" s="14" t="s">
        <v>1005</v>
      </c>
      <c r="H279" s="11" t="s">
        <v>21</v>
      </c>
      <c r="I279" s="15" t="s">
        <v>21</v>
      </c>
      <c r="J279" s="15" t="s">
        <v>1006</v>
      </c>
      <c r="K279" s="11" t="s">
        <v>21</v>
      </c>
      <c r="L279" s="5" t="s">
        <v>31</v>
      </c>
      <c r="M279" s="5"/>
      <c r="N279" s="277"/>
      <c r="O279" s="277"/>
      <c r="P279" s="202" t="s">
        <v>2596</v>
      </c>
      <c r="Q279" s="201">
        <v>275</v>
      </c>
    </row>
    <row r="280" spans="1:17" ht="175.95" customHeight="1">
      <c r="A280" s="3" t="s">
        <v>1001</v>
      </c>
      <c r="B280" s="3" t="s">
        <v>1002</v>
      </c>
      <c r="C280" s="3" t="s">
        <v>1003</v>
      </c>
      <c r="D280" s="7" t="s">
        <v>24</v>
      </c>
      <c r="E280" s="3">
        <v>2</v>
      </c>
      <c r="F280" s="4" t="s">
        <v>1007</v>
      </c>
      <c r="G280" s="4" t="s">
        <v>1008</v>
      </c>
      <c r="H280" s="11" t="s">
        <v>27</v>
      </c>
      <c r="I280" s="15" t="s">
        <v>1009</v>
      </c>
      <c r="J280" s="15" t="s">
        <v>1010</v>
      </c>
      <c r="K280" s="5" t="s">
        <v>23</v>
      </c>
      <c r="L280" s="5" t="s">
        <v>23</v>
      </c>
      <c r="M280" s="5"/>
      <c r="N280" s="277"/>
      <c r="O280" s="277" t="s">
        <v>2502</v>
      </c>
      <c r="P280" s="202" t="s">
        <v>2596</v>
      </c>
      <c r="Q280" s="201">
        <v>276</v>
      </c>
    </row>
    <row r="281" spans="1:17" ht="125.55" customHeight="1">
      <c r="A281" s="3" t="s">
        <v>1001</v>
      </c>
      <c r="B281" s="3" t="s">
        <v>1002</v>
      </c>
      <c r="C281" s="3" t="s">
        <v>1003</v>
      </c>
      <c r="D281" s="7" t="s">
        <v>24</v>
      </c>
      <c r="E281" s="3">
        <v>2</v>
      </c>
      <c r="F281" s="4" t="s">
        <v>1011</v>
      </c>
      <c r="G281" s="4" t="s">
        <v>1012</v>
      </c>
      <c r="H281" s="11" t="s">
        <v>27</v>
      </c>
      <c r="I281" s="15" t="s">
        <v>1013</v>
      </c>
      <c r="J281" s="15" t="s">
        <v>1014</v>
      </c>
      <c r="K281" s="5" t="s">
        <v>31</v>
      </c>
      <c r="L281" s="5" t="s">
        <v>31</v>
      </c>
      <c r="M281" s="5"/>
      <c r="N281" s="277"/>
      <c r="O281" s="277"/>
      <c r="P281" s="202" t="s">
        <v>2596</v>
      </c>
      <c r="Q281" s="201">
        <v>277</v>
      </c>
    </row>
    <row r="282" spans="1:17" ht="177.45" hidden="1" customHeight="1">
      <c r="A282" s="266"/>
      <c r="B282" s="266"/>
      <c r="C282" s="266"/>
      <c r="D282" s="267"/>
      <c r="E282" s="266"/>
      <c r="F282" s="268"/>
      <c r="G282" s="285"/>
      <c r="H282" s="269"/>
      <c r="I282" s="278"/>
      <c r="J282" s="278"/>
      <c r="K282" s="269"/>
      <c r="L282" s="270"/>
      <c r="M282" s="5"/>
      <c r="N282" s="277"/>
      <c r="O282" s="277"/>
      <c r="P282" s="274"/>
      <c r="Q282" s="275"/>
    </row>
    <row r="283" spans="1:17" ht="127.5" hidden="1" customHeight="1">
      <c r="A283" s="266"/>
      <c r="B283" s="266"/>
      <c r="C283" s="266"/>
      <c r="D283" s="267"/>
      <c r="E283" s="266"/>
      <c r="F283" s="268"/>
      <c r="G283" s="285"/>
      <c r="H283" s="269"/>
      <c r="I283" s="278"/>
      <c r="J283" s="278"/>
      <c r="K283" s="269"/>
      <c r="L283" s="270"/>
      <c r="M283" s="5"/>
      <c r="N283" s="277"/>
      <c r="O283" s="277"/>
      <c r="P283" s="274"/>
      <c r="Q283" s="275"/>
    </row>
    <row r="284" spans="1:17" hidden="1">
      <c r="A284" s="266"/>
      <c r="B284" s="266"/>
      <c r="C284" s="266"/>
      <c r="D284" s="289"/>
      <c r="E284" s="266"/>
      <c r="F284" s="268"/>
      <c r="G284" s="268"/>
      <c r="H284" s="269"/>
      <c r="I284" s="278"/>
      <c r="J284" s="278"/>
      <c r="K284" s="269"/>
      <c r="L284" s="270"/>
      <c r="M284" s="5"/>
      <c r="N284" s="277"/>
      <c r="O284" s="277"/>
      <c r="P284" s="274"/>
      <c r="Q284" s="275"/>
    </row>
    <row r="285" spans="1:17" hidden="1">
      <c r="A285" s="266"/>
      <c r="B285" s="266"/>
      <c r="C285" s="266"/>
      <c r="D285" s="267"/>
      <c r="E285" s="266"/>
      <c r="F285" s="268"/>
      <c r="G285" s="268"/>
      <c r="H285" s="269"/>
      <c r="I285" s="278"/>
      <c r="J285" s="278"/>
      <c r="K285" s="269"/>
      <c r="L285" s="270"/>
      <c r="M285" s="5"/>
      <c r="N285" s="277"/>
      <c r="O285" s="277"/>
      <c r="P285" s="274"/>
      <c r="Q285" s="275"/>
    </row>
    <row r="286" spans="1:17" ht="27.6">
      <c r="A286" s="3" t="s">
        <v>1001</v>
      </c>
      <c r="B286" s="3" t="s">
        <v>1002</v>
      </c>
      <c r="C286" s="3" t="s">
        <v>1027</v>
      </c>
      <c r="D286" s="6" t="s">
        <v>18</v>
      </c>
      <c r="E286" s="3">
        <v>1</v>
      </c>
      <c r="F286" s="2" t="s">
        <v>1028</v>
      </c>
      <c r="G286" s="2" t="s">
        <v>1029</v>
      </c>
      <c r="H286" s="11" t="s">
        <v>21</v>
      </c>
      <c r="I286" s="15" t="s">
        <v>21</v>
      </c>
      <c r="J286" s="15" t="s">
        <v>1030</v>
      </c>
      <c r="K286" s="11" t="s">
        <v>21</v>
      </c>
      <c r="L286" s="5" t="s">
        <v>31</v>
      </c>
      <c r="M286" s="5"/>
      <c r="N286" s="277"/>
      <c r="O286" s="277"/>
      <c r="P286" s="202" t="s">
        <v>2596</v>
      </c>
      <c r="Q286" s="201">
        <v>282</v>
      </c>
    </row>
    <row r="287" spans="1:17" ht="41.4">
      <c r="A287" s="3" t="s">
        <v>1001</v>
      </c>
      <c r="B287" s="3" t="s">
        <v>1002</v>
      </c>
      <c r="C287" s="3" t="s">
        <v>1027</v>
      </c>
      <c r="D287" s="7" t="s">
        <v>24</v>
      </c>
      <c r="E287" s="3">
        <v>2</v>
      </c>
      <c r="F287" s="2" t="s">
        <v>1031</v>
      </c>
      <c r="G287" s="2" t="s">
        <v>1032</v>
      </c>
      <c r="H287" s="11" t="s">
        <v>21</v>
      </c>
      <c r="I287" s="15" t="s">
        <v>21</v>
      </c>
      <c r="J287" s="15" t="s">
        <v>1033</v>
      </c>
      <c r="K287" s="11" t="s">
        <v>21</v>
      </c>
      <c r="L287" s="5" t="s">
        <v>31</v>
      </c>
      <c r="M287" s="5"/>
      <c r="N287" s="277"/>
      <c r="O287" s="277"/>
      <c r="P287" s="202" t="s">
        <v>2596</v>
      </c>
      <c r="Q287" s="201">
        <v>283</v>
      </c>
    </row>
    <row r="288" spans="1:17" ht="41.4">
      <c r="A288" s="3" t="s">
        <v>1001</v>
      </c>
      <c r="B288" s="3" t="s">
        <v>1002</v>
      </c>
      <c r="C288" s="3" t="s">
        <v>1027</v>
      </c>
      <c r="D288" s="7" t="s">
        <v>24</v>
      </c>
      <c r="E288" s="3">
        <v>2</v>
      </c>
      <c r="F288" s="1" t="s">
        <v>1034</v>
      </c>
      <c r="G288" s="4" t="s">
        <v>1035</v>
      </c>
      <c r="H288" s="11" t="s">
        <v>27</v>
      </c>
      <c r="I288" s="15" t="s">
        <v>1036</v>
      </c>
      <c r="J288" s="15" t="s">
        <v>1037</v>
      </c>
      <c r="K288" s="5" t="s">
        <v>31</v>
      </c>
      <c r="L288" s="5" t="s">
        <v>31</v>
      </c>
      <c r="M288" s="5"/>
      <c r="N288" s="277"/>
      <c r="O288" s="277"/>
      <c r="P288" s="202" t="s">
        <v>2596</v>
      </c>
      <c r="Q288" s="201">
        <v>284</v>
      </c>
    </row>
    <row r="289" spans="1:17" ht="124.2">
      <c r="A289" s="3" t="s">
        <v>1001</v>
      </c>
      <c r="B289" s="3" t="s">
        <v>1002</v>
      </c>
      <c r="C289" s="3" t="s">
        <v>1027</v>
      </c>
      <c r="D289" s="7" t="s">
        <v>24</v>
      </c>
      <c r="E289" s="3">
        <v>2</v>
      </c>
      <c r="F289" s="13" t="s">
        <v>1038</v>
      </c>
      <c r="G289" s="4" t="s">
        <v>1039</v>
      </c>
      <c r="H289" s="11" t="s">
        <v>27</v>
      </c>
      <c r="I289" s="15" t="s">
        <v>1040</v>
      </c>
      <c r="J289" s="15" t="s">
        <v>1041</v>
      </c>
      <c r="K289" s="5" t="s">
        <v>31</v>
      </c>
      <c r="L289" s="5" t="s">
        <v>31</v>
      </c>
      <c r="M289" s="5"/>
      <c r="N289" s="277"/>
      <c r="O289" s="277"/>
      <c r="P289" s="202" t="s">
        <v>2596</v>
      </c>
      <c r="Q289" s="201">
        <v>285</v>
      </c>
    </row>
    <row r="290" spans="1:17" ht="55.2">
      <c r="A290" s="3" t="s">
        <v>1001</v>
      </c>
      <c r="B290" s="3" t="s">
        <v>1002</v>
      </c>
      <c r="C290" s="3" t="s">
        <v>1027</v>
      </c>
      <c r="D290" s="7" t="s">
        <v>24</v>
      </c>
      <c r="E290" s="3">
        <v>2</v>
      </c>
      <c r="F290" s="14" t="s">
        <v>1042</v>
      </c>
      <c r="G290" s="4" t="s">
        <v>1043</v>
      </c>
      <c r="H290" s="11" t="s">
        <v>21</v>
      </c>
      <c r="I290" s="15" t="s">
        <v>21</v>
      </c>
      <c r="J290" s="15" t="s">
        <v>1044</v>
      </c>
      <c r="K290" s="11" t="s">
        <v>21</v>
      </c>
      <c r="L290" s="5" t="s">
        <v>31</v>
      </c>
      <c r="M290" s="5"/>
      <c r="N290" s="277"/>
      <c r="O290" s="277"/>
      <c r="P290" s="202" t="s">
        <v>2596</v>
      </c>
      <c r="Q290" s="201">
        <v>286</v>
      </c>
    </row>
    <row r="291" spans="1:17" ht="317.39999999999998">
      <c r="A291" s="3" t="s">
        <v>1001</v>
      </c>
      <c r="B291" s="3" t="s">
        <v>1002</v>
      </c>
      <c r="C291" s="3" t="s">
        <v>1027</v>
      </c>
      <c r="D291" s="7" t="s">
        <v>24</v>
      </c>
      <c r="E291" s="3">
        <v>2</v>
      </c>
      <c r="F291" s="4" t="s">
        <v>1045</v>
      </c>
      <c r="G291" s="4" t="s">
        <v>1046</v>
      </c>
      <c r="H291" s="11" t="s">
        <v>21</v>
      </c>
      <c r="I291" s="15" t="s">
        <v>21</v>
      </c>
      <c r="J291" s="15" t="s">
        <v>1047</v>
      </c>
      <c r="K291" s="11" t="s">
        <v>21</v>
      </c>
      <c r="L291" s="5" t="s">
        <v>31</v>
      </c>
      <c r="M291" s="5"/>
      <c r="N291" s="277"/>
      <c r="O291" s="277"/>
      <c r="P291" s="202" t="s">
        <v>2596</v>
      </c>
      <c r="Q291" s="201">
        <v>287</v>
      </c>
    </row>
    <row r="292" spans="1:17" hidden="1">
      <c r="A292" s="266"/>
      <c r="B292" s="266"/>
      <c r="C292" s="266"/>
      <c r="D292" s="267"/>
      <c r="E292" s="266"/>
      <c r="F292" s="268"/>
      <c r="G292" s="285"/>
      <c r="H292" s="269"/>
      <c r="I292" s="278"/>
      <c r="J292" s="278"/>
      <c r="K292" s="270"/>
      <c r="L292" s="270"/>
      <c r="M292" s="5"/>
      <c r="N292" s="277"/>
      <c r="O292" s="277"/>
      <c r="P292" s="274"/>
      <c r="Q292" s="275"/>
    </row>
    <row r="293" spans="1:17" hidden="1">
      <c r="A293" s="266"/>
      <c r="B293" s="266"/>
      <c r="C293" s="266"/>
      <c r="D293" s="267"/>
      <c r="E293" s="266"/>
      <c r="F293" s="268"/>
      <c r="G293" s="285"/>
      <c r="H293" s="269"/>
      <c r="I293" s="278"/>
      <c r="J293" s="278"/>
      <c r="K293" s="270"/>
      <c r="L293" s="270"/>
      <c r="M293" s="5"/>
      <c r="N293" s="279"/>
      <c r="O293" s="279"/>
      <c r="P293" s="274"/>
      <c r="Q293" s="275"/>
    </row>
    <row r="294" spans="1:17" hidden="1">
      <c r="A294" s="266"/>
      <c r="B294" s="266"/>
      <c r="C294" s="266"/>
      <c r="D294" s="267"/>
      <c r="E294" s="266"/>
      <c r="F294" s="268"/>
      <c r="G294" s="268"/>
      <c r="H294" s="269"/>
      <c r="I294" s="278"/>
      <c r="J294" s="278"/>
      <c r="K294" s="270"/>
      <c r="L294" s="270"/>
      <c r="M294" s="5"/>
      <c r="N294" s="279"/>
      <c r="O294" s="279"/>
      <c r="P294" s="274"/>
      <c r="Q294" s="275"/>
    </row>
    <row r="295" spans="1:17" hidden="1">
      <c r="A295" s="266"/>
      <c r="B295" s="266"/>
      <c r="C295" s="266"/>
      <c r="D295" s="267"/>
      <c r="E295" s="266"/>
      <c r="F295" s="268"/>
      <c r="G295" s="268"/>
      <c r="H295" s="269"/>
      <c r="I295" s="278"/>
      <c r="J295" s="278"/>
      <c r="K295" s="270"/>
      <c r="L295" s="270"/>
      <c r="M295" s="5"/>
      <c r="N295" s="277"/>
      <c r="O295" s="277"/>
      <c r="P295" s="274"/>
      <c r="Q295" s="275"/>
    </row>
    <row r="296" spans="1:17" hidden="1">
      <c r="A296" s="266"/>
      <c r="B296" s="266"/>
      <c r="C296" s="266"/>
      <c r="D296" s="267"/>
      <c r="E296" s="266"/>
      <c r="F296" s="268"/>
      <c r="G296" s="268"/>
      <c r="H296" s="269"/>
      <c r="I296" s="278"/>
      <c r="J296" s="278"/>
      <c r="K296" s="270"/>
      <c r="L296" s="270"/>
      <c r="M296" s="5"/>
      <c r="N296" s="277"/>
      <c r="O296" s="277"/>
      <c r="P296" s="274"/>
      <c r="Q296" s="275"/>
    </row>
    <row r="297" spans="1:17" hidden="1">
      <c r="A297" s="266"/>
      <c r="B297" s="266"/>
      <c r="C297" s="266"/>
      <c r="D297" s="267"/>
      <c r="E297" s="266"/>
      <c r="F297" s="268"/>
      <c r="G297" s="268"/>
      <c r="H297" s="269"/>
      <c r="I297" s="278"/>
      <c r="J297" s="278"/>
      <c r="K297" s="270"/>
      <c r="L297" s="270"/>
      <c r="M297" s="5"/>
      <c r="N297" s="277"/>
      <c r="O297" s="277"/>
      <c r="P297" s="274"/>
      <c r="Q297" s="275"/>
    </row>
    <row r="298" spans="1:17" hidden="1">
      <c r="A298" s="266"/>
      <c r="B298" s="266"/>
      <c r="C298" s="266"/>
      <c r="D298" s="267"/>
      <c r="E298" s="266"/>
      <c r="F298" s="268"/>
      <c r="G298" s="268"/>
      <c r="H298" s="269"/>
      <c r="I298" s="278"/>
      <c r="J298" s="278"/>
      <c r="K298" s="270"/>
      <c r="L298" s="270"/>
      <c r="M298" s="5"/>
      <c r="N298" s="277"/>
      <c r="O298" s="277"/>
      <c r="P298" s="274"/>
      <c r="Q298" s="275"/>
    </row>
    <row r="299" spans="1:17" hidden="1">
      <c r="A299" s="266"/>
      <c r="B299" s="266"/>
      <c r="C299" s="266"/>
      <c r="D299" s="289"/>
      <c r="E299" s="266"/>
      <c r="F299" s="268"/>
      <c r="G299" s="268"/>
      <c r="H299" s="269"/>
      <c r="I299" s="278"/>
      <c r="J299" s="278"/>
      <c r="K299" s="270"/>
      <c r="L299" s="270"/>
      <c r="M299" s="5"/>
      <c r="N299" s="277"/>
      <c r="O299" s="277"/>
      <c r="P299" s="274"/>
      <c r="Q299" s="275"/>
    </row>
    <row r="300" spans="1:17" hidden="1">
      <c r="A300" s="266"/>
      <c r="B300" s="266"/>
      <c r="C300" s="266"/>
      <c r="D300" s="289"/>
      <c r="E300" s="266"/>
      <c r="F300" s="268"/>
      <c r="G300" s="272"/>
      <c r="H300" s="269"/>
      <c r="I300" s="278"/>
      <c r="J300" s="278"/>
      <c r="K300" s="269"/>
      <c r="L300" s="270"/>
      <c r="M300" s="5"/>
      <c r="N300" s="277"/>
      <c r="O300" s="277"/>
      <c r="P300" s="274"/>
      <c r="Q300" s="275"/>
    </row>
    <row r="301" spans="1:17" hidden="1">
      <c r="A301" s="266"/>
      <c r="B301" s="266"/>
      <c r="C301" s="266"/>
      <c r="D301" s="267"/>
      <c r="E301" s="266"/>
      <c r="F301" s="268"/>
      <c r="G301" s="268"/>
      <c r="H301" s="269"/>
      <c r="I301" s="278"/>
      <c r="J301" s="278"/>
      <c r="K301" s="269"/>
      <c r="L301" s="270"/>
      <c r="M301" s="5"/>
      <c r="N301" s="277"/>
      <c r="O301" s="277"/>
      <c r="P301" s="274"/>
      <c r="Q301" s="275"/>
    </row>
    <row r="302" spans="1:17" hidden="1">
      <c r="A302" s="266"/>
      <c r="B302" s="266"/>
      <c r="C302" s="266"/>
      <c r="D302" s="267"/>
      <c r="E302" s="266"/>
      <c r="F302" s="268"/>
      <c r="G302" s="285"/>
      <c r="H302" s="269"/>
      <c r="I302" s="278"/>
      <c r="J302" s="278"/>
      <c r="K302" s="269"/>
      <c r="L302" s="270"/>
      <c r="M302" s="5"/>
      <c r="N302" s="277"/>
      <c r="O302" s="277"/>
      <c r="P302" s="274"/>
      <c r="Q302" s="275"/>
    </row>
    <row r="303" spans="1:17" ht="27.6">
      <c r="A303" s="3" t="s">
        <v>1001</v>
      </c>
      <c r="B303" s="3" t="s">
        <v>1002</v>
      </c>
      <c r="C303" s="3" t="s">
        <v>1089</v>
      </c>
      <c r="D303" s="6" t="s">
        <v>18</v>
      </c>
      <c r="E303" s="3">
        <v>1</v>
      </c>
      <c r="F303" s="2" t="s">
        <v>1090</v>
      </c>
      <c r="G303" s="2" t="s">
        <v>1091</v>
      </c>
      <c r="H303" s="11" t="s">
        <v>21</v>
      </c>
      <c r="I303" s="15" t="s">
        <v>21</v>
      </c>
      <c r="J303" s="15" t="s">
        <v>1092</v>
      </c>
      <c r="K303" s="11" t="s">
        <v>21</v>
      </c>
      <c r="L303" s="5" t="s">
        <v>31</v>
      </c>
      <c r="M303" s="5"/>
      <c r="N303" s="277"/>
      <c r="O303" s="277"/>
      <c r="P303" s="202" t="s">
        <v>2596</v>
      </c>
      <c r="Q303" s="201">
        <v>299</v>
      </c>
    </row>
    <row r="304" spans="1:17" ht="27.6">
      <c r="A304" s="3" t="s">
        <v>1001</v>
      </c>
      <c r="B304" s="3" t="s">
        <v>1002</v>
      </c>
      <c r="C304" s="3" t="s">
        <v>1089</v>
      </c>
      <c r="D304" s="7" t="s">
        <v>24</v>
      </c>
      <c r="E304" s="3">
        <v>2</v>
      </c>
      <c r="F304" s="2" t="s">
        <v>1093</v>
      </c>
      <c r="G304" s="2" t="s">
        <v>1094</v>
      </c>
      <c r="H304" s="11" t="s">
        <v>21</v>
      </c>
      <c r="I304" s="15" t="s">
        <v>21</v>
      </c>
      <c r="J304" s="15" t="s">
        <v>1095</v>
      </c>
      <c r="K304" s="11" t="s">
        <v>21</v>
      </c>
      <c r="L304" s="5" t="s">
        <v>31</v>
      </c>
      <c r="M304" s="5"/>
      <c r="N304" s="277"/>
      <c r="O304" s="277"/>
      <c r="P304" s="202" t="s">
        <v>2596</v>
      </c>
      <c r="Q304" s="201">
        <v>300</v>
      </c>
    </row>
    <row r="305" spans="1:17" ht="27.6">
      <c r="A305" s="3" t="s">
        <v>1001</v>
      </c>
      <c r="B305" s="3" t="s">
        <v>1002</v>
      </c>
      <c r="C305" s="3" t="s">
        <v>1089</v>
      </c>
      <c r="D305" s="7" t="s">
        <v>24</v>
      </c>
      <c r="E305" s="3">
        <v>2</v>
      </c>
      <c r="F305" s="2" t="s">
        <v>1096</v>
      </c>
      <c r="G305" s="2" t="s">
        <v>1097</v>
      </c>
      <c r="H305" s="11" t="s">
        <v>21</v>
      </c>
      <c r="I305" s="15" t="s">
        <v>21</v>
      </c>
      <c r="J305" s="15" t="s">
        <v>1098</v>
      </c>
      <c r="K305" s="11" t="s">
        <v>21</v>
      </c>
      <c r="L305" s="5" t="s">
        <v>31</v>
      </c>
      <c r="M305" s="5"/>
      <c r="N305" s="277"/>
      <c r="O305" s="277"/>
      <c r="P305" s="202" t="s">
        <v>2596</v>
      </c>
      <c r="Q305" s="201">
        <v>301</v>
      </c>
    </row>
    <row r="306" spans="1:17" ht="41.4">
      <c r="A306" s="3" t="s">
        <v>1001</v>
      </c>
      <c r="B306" s="3" t="s">
        <v>1002</v>
      </c>
      <c r="C306" s="3" t="s">
        <v>1089</v>
      </c>
      <c r="D306" s="7" t="s">
        <v>24</v>
      </c>
      <c r="E306" s="3">
        <v>2</v>
      </c>
      <c r="F306" s="2" t="s">
        <v>1099</v>
      </c>
      <c r="G306" s="2" t="s">
        <v>1100</v>
      </c>
      <c r="H306" s="11" t="s">
        <v>55</v>
      </c>
      <c r="I306" s="15" t="s">
        <v>1101</v>
      </c>
      <c r="J306" s="15" t="s">
        <v>1102</v>
      </c>
      <c r="K306" s="5" t="s">
        <v>31</v>
      </c>
      <c r="L306" s="5" t="s">
        <v>31</v>
      </c>
      <c r="M306" s="5"/>
      <c r="N306" s="277"/>
      <c r="O306" s="277"/>
      <c r="P306" s="202" t="s">
        <v>2596</v>
      </c>
      <c r="Q306" s="201">
        <v>302</v>
      </c>
    </row>
    <row r="307" spans="1:17" ht="41.4">
      <c r="A307" s="3" t="s">
        <v>1001</v>
      </c>
      <c r="B307" s="3" t="s">
        <v>1002</v>
      </c>
      <c r="C307" s="3" t="s">
        <v>1089</v>
      </c>
      <c r="D307" s="7" t="s">
        <v>24</v>
      </c>
      <c r="E307" s="3">
        <v>2</v>
      </c>
      <c r="F307" s="2" t="s">
        <v>1103</v>
      </c>
      <c r="G307" s="2" t="s">
        <v>1104</v>
      </c>
      <c r="H307" s="11" t="s">
        <v>55</v>
      </c>
      <c r="I307" s="15" t="s">
        <v>1105</v>
      </c>
      <c r="J307" s="15" t="s">
        <v>1106</v>
      </c>
      <c r="K307" s="5" t="s">
        <v>31</v>
      </c>
      <c r="L307" s="5" t="s">
        <v>31</v>
      </c>
      <c r="M307" s="5"/>
      <c r="N307" s="277"/>
      <c r="O307" s="277"/>
      <c r="P307" s="202" t="s">
        <v>2596</v>
      </c>
      <c r="Q307" s="201">
        <v>303</v>
      </c>
    </row>
    <row r="308" spans="1:17" ht="110.4">
      <c r="A308" s="3" t="s">
        <v>1001</v>
      </c>
      <c r="B308" s="3" t="s">
        <v>1002</v>
      </c>
      <c r="C308" s="3" t="s">
        <v>1089</v>
      </c>
      <c r="D308" s="7" t="s">
        <v>24</v>
      </c>
      <c r="E308" s="3">
        <v>2</v>
      </c>
      <c r="F308" s="2" t="s">
        <v>1107</v>
      </c>
      <c r="G308" s="2" t="s">
        <v>1108</v>
      </c>
      <c r="H308" s="11" t="s">
        <v>27</v>
      </c>
      <c r="I308" s="15" t="s">
        <v>1109</v>
      </c>
      <c r="J308" s="15" t="s">
        <v>1110</v>
      </c>
      <c r="K308" s="5" t="s">
        <v>31</v>
      </c>
      <c r="L308" s="5" t="s">
        <v>31</v>
      </c>
      <c r="M308" s="5"/>
      <c r="N308" s="277"/>
      <c r="O308" s="277"/>
      <c r="P308" s="202" t="s">
        <v>2596</v>
      </c>
      <c r="Q308" s="201">
        <v>304</v>
      </c>
    </row>
    <row r="309" spans="1:17" ht="55.2">
      <c r="A309" s="3" t="s">
        <v>1001</v>
      </c>
      <c r="B309" s="3" t="s">
        <v>1002</v>
      </c>
      <c r="C309" s="3" t="s">
        <v>1089</v>
      </c>
      <c r="D309" s="7" t="s">
        <v>24</v>
      </c>
      <c r="E309" s="3">
        <v>2</v>
      </c>
      <c r="F309" s="2" t="s">
        <v>1111</v>
      </c>
      <c r="G309" s="2" t="s">
        <v>1112</v>
      </c>
      <c r="H309" s="11" t="s">
        <v>181</v>
      </c>
      <c r="I309" s="15" t="s">
        <v>1113</v>
      </c>
      <c r="J309" s="15" t="s">
        <v>1114</v>
      </c>
      <c r="K309" s="5" t="s">
        <v>31</v>
      </c>
      <c r="L309" s="5" t="s">
        <v>31</v>
      </c>
      <c r="M309" s="5"/>
      <c r="N309" s="277"/>
      <c r="O309" s="277"/>
      <c r="P309" s="202" t="s">
        <v>2596</v>
      </c>
      <c r="Q309" s="201">
        <v>305</v>
      </c>
    </row>
    <row r="310" spans="1:17" ht="41.4">
      <c r="A310" s="3" t="s">
        <v>1001</v>
      </c>
      <c r="B310" s="3" t="s">
        <v>1002</v>
      </c>
      <c r="C310" s="3" t="s">
        <v>1089</v>
      </c>
      <c r="D310" s="7" t="s">
        <v>24</v>
      </c>
      <c r="E310" s="3">
        <v>2</v>
      </c>
      <c r="F310" s="2" t="s">
        <v>1115</v>
      </c>
      <c r="G310" s="2" t="s">
        <v>1116</v>
      </c>
      <c r="H310" s="11" t="s">
        <v>55</v>
      </c>
      <c r="I310" s="15" t="s">
        <v>1117</v>
      </c>
      <c r="J310" s="15" t="s">
        <v>1118</v>
      </c>
      <c r="K310" s="5" t="s">
        <v>31</v>
      </c>
      <c r="L310" s="5" t="s">
        <v>31</v>
      </c>
      <c r="M310" s="5"/>
      <c r="N310" s="277"/>
      <c r="O310" s="277"/>
      <c r="P310" s="202" t="s">
        <v>2596</v>
      </c>
      <c r="Q310" s="201">
        <v>306</v>
      </c>
    </row>
    <row r="311" spans="1:17" hidden="1">
      <c r="A311" s="266"/>
      <c r="B311" s="266"/>
      <c r="C311" s="266"/>
      <c r="D311" s="267"/>
      <c r="E311" s="266"/>
      <c r="F311" s="272"/>
      <c r="G311" s="272"/>
      <c r="H311" s="269"/>
      <c r="I311" s="278"/>
      <c r="J311" s="278"/>
      <c r="K311" s="269"/>
      <c r="L311" s="270"/>
      <c r="M311" s="5"/>
      <c r="N311" s="277"/>
      <c r="O311" s="277"/>
      <c r="P311" s="274"/>
      <c r="Q311" s="275"/>
    </row>
    <row r="312" spans="1:17" hidden="1">
      <c r="A312" s="266"/>
      <c r="B312" s="266"/>
      <c r="C312" s="266"/>
      <c r="D312" s="267"/>
      <c r="E312" s="266"/>
      <c r="F312" s="285"/>
      <c r="G312" s="285"/>
      <c r="H312" s="269"/>
      <c r="I312" s="278"/>
      <c r="J312" s="278"/>
      <c r="K312" s="270"/>
      <c r="L312" s="270"/>
      <c r="M312" s="5"/>
      <c r="N312" s="277"/>
      <c r="O312" s="277"/>
      <c r="P312" s="274"/>
      <c r="Q312" s="275"/>
    </row>
    <row r="313" spans="1:17" hidden="1">
      <c r="A313" s="266"/>
      <c r="B313" s="266"/>
      <c r="C313" s="266"/>
      <c r="D313" s="267"/>
      <c r="E313" s="266"/>
      <c r="F313" s="285"/>
      <c r="G313" s="285"/>
      <c r="H313" s="269"/>
      <c r="I313" s="278"/>
      <c r="J313" s="278"/>
      <c r="K313" s="269"/>
      <c r="L313" s="270"/>
      <c r="M313" s="5"/>
      <c r="N313" s="277"/>
      <c r="O313" s="277"/>
      <c r="P313" s="274"/>
      <c r="Q313" s="275"/>
    </row>
    <row r="314" spans="1:17" hidden="1">
      <c r="A314" s="266"/>
      <c r="B314" s="266"/>
      <c r="C314" s="266"/>
      <c r="D314" s="267"/>
      <c r="E314" s="266"/>
      <c r="F314" s="285"/>
      <c r="G314" s="285"/>
      <c r="H314" s="269"/>
      <c r="I314" s="278"/>
      <c r="J314" s="278"/>
      <c r="K314" s="270"/>
      <c r="L314" s="270"/>
      <c r="M314" s="5"/>
      <c r="N314" s="277"/>
      <c r="O314" s="277"/>
      <c r="P314" s="274"/>
      <c r="Q314" s="275"/>
    </row>
    <row r="315" spans="1:17" hidden="1">
      <c r="A315" s="266"/>
      <c r="B315" s="266"/>
      <c r="C315" s="266"/>
      <c r="D315" s="289"/>
      <c r="E315" s="266"/>
      <c r="F315" s="268"/>
      <c r="G315" s="268"/>
      <c r="H315" s="269"/>
      <c r="I315" s="278"/>
      <c r="J315" s="278"/>
      <c r="K315" s="269"/>
      <c r="L315" s="270"/>
      <c r="M315" s="5"/>
      <c r="N315" s="277"/>
      <c r="O315" s="277"/>
      <c r="P315" s="274"/>
      <c r="Q315" s="275"/>
    </row>
    <row r="316" spans="1:17" hidden="1">
      <c r="A316" s="266"/>
      <c r="B316" s="266"/>
      <c r="C316" s="266"/>
      <c r="D316" s="289"/>
      <c r="E316" s="266"/>
      <c r="F316" s="268"/>
      <c r="G316" s="268"/>
      <c r="H316" s="269"/>
      <c r="I316" s="278"/>
      <c r="J316" s="278"/>
      <c r="K316" s="270"/>
      <c r="L316" s="270"/>
      <c r="M316" s="5"/>
      <c r="N316" s="277"/>
      <c r="O316" s="277"/>
      <c r="P316" s="274"/>
      <c r="Q316" s="275"/>
    </row>
    <row r="317" spans="1:17" hidden="1">
      <c r="A317" s="266"/>
      <c r="B317" s="266"/>
      <c r="C317" s="266"/>
      <c r="D317" s="267"/>
      <c r="E317" s="266"/>
      <c r="F317" s="268"/>
      <c r="G317" s="268"/>
      <c r="H317" s="269"/>
      <c r="I317" s="278"/>
      <c r="J317" s="278"/>
      <c r="K317" s="269"/>
      <c r="L317" s="270"/>
      <c r="M317" s="5"/>
      <c r="N317" s="277"/>
      <c r="O317" s="277"/>
      <c r="P317" s="274"/>
      <c r="Q317" s="275"/>
    </row>
    <row r="318" spans="1:17" ht="55.2">
      <c r="A318" s="23" t="s">
        <v>1143</v>
      </c>
      <c r="B318" s="3" t="s">
        <v>1144</v>
      </c>
      <c r="C318" s="3" t="s">
        <v>1145</v>
      </c>
      <c r="D318" s="6" t="s">
        <v>18</v>
      </c>
      <c r="E318" s="3">
        <v>1</v>
      </c>
      <c r="F318" s="4" t="s">
        <v>1146</v>
      </c>
      <c r="G318" s="14" t="s">
        <v>1147</v>
      </c>
      <c r="H318" s="11" t="s">
        <v>21</v>
      </c>
      <c r="I318" s="15" t="s">
        <v>21</v>
      </c>
      <c r="J318" s="15" t="s">
        <v>1148</v>
      </c>
      <c r="K318" s="11" t="s">
        <v>21</v>
      </c>
      <c r="L318" s="5" t="s">
        <v>23</v>
      </c>
      <c r="M318" s="5"/>
      <c r="N318" s="277"/>
      <c r="O318" s="277" t="s">
        <v>2513</v>
      </c>
      <c r="P318" s="202" t="s">
        <v>2647</v>
      </c>
      <c r="Q318" s="201">
        <v>314</v>
      </c>
    </row>
    <row r="319" spans="1:17" ht="136.94999999999999" customHeight="1">
      <c r="A319" s="23" t="s">
        <v>1143</v>
      </c>
      <c r="B319" s="3" t="s">
        <v>1144</v>
      </c>
      <c r="C319" s="3" t="s">
        <v>1145</v>
      </c>
      <c r="D319" s="7" t="s">
        <v>24</v>
      </c>
      <c r="E319" s="3">
        <v>2</v>
      </c>
      <c r="F319" s="4" t="s">
        <v>1149</v>
      </c>
      <c r="G319" s="4" t="s">
        <v>1150</v>
      </c>
      <c r="H319" s="11" t="s">
        <v>27</v>
      </c>
      <c r="I319" s="15" t="s">
        <v>1151</v>
      </c>
      <c r="J319" s="15" t="s">
        <v>1152</v>
      </c>
      <c r="K319" s="5" t="s">
        <v>23</v>
      </c>
      <c r="L319" s="5" t="s">
        <v>23</v>
      </c>
      <c r="M319" s="5"/>
      <c r="N319" s="277"/>
      <c r="O319" s="277" t="s">
        <v>2514</v>
      </c>
      <c r="P319" s="202" t="s">
        <v>2598</v>
      </c>
      <c r="Q319" s="201">
        <v>315</v>
      </c>
    </row>
    <row r="320" spans="1:17" ht="193.05" hidden="1" customHeight="1">
      <c r="A320" s="283"/>
      <c r="B320" s="266"/>
      <c r="C320" s="266"/>
      <c r="D320" s="267"/>
      <c r="E320" s="266"/>
      <c r="F320" s="268"/>
      <c r="G320" s="285"/>
      <c r="H320" s="269"/>
      <c r="I320" s="278"/>
      <c r="J320" s="278"/>
      <c r="K320" s="269"/>
      <c r="L320" s="270"/>
      <c r="M320" s="5"/>
      <c r="N320" s="277"/>
      <c r="O320" s="277"/>
      <c r="P320" s="274"/>
      <c r="Q320" s="275"/>
    </row>
    <row r="321" spans="1:18" hidden="1">
      <c r="A321" s="283"/>
      <c r="B321" s="266"/>
      <c r="C321" s="266"/>
      <c r="D321" s="267"/>
      <c r="E321" s="266"/>
      <c r="F321" s="268"/>
      <c r="G321" s="268"/>
      <c r="H321" s="269"/>
      <c r="I321" s="278"/>
      <c r="J321" s="278"/>
      <c r="K321" s="270"/>
      <c r="L321" s="270"/>
      <c r="M321" s="5"/>
      <c r="N321" s="277"/>
      <c r="O321" s="277"/>
      <c r="P321" s="274"/>
      <c r="Q321" s="275"/>
    </row>
    <row r="322" spans="1:18" hidden="1">
      <c r="A322" s="283"/>
      <c r="B322" s="266"/>
      <c r="C322" s="266"/>
      <c r="D322" s="267"/>
      <c r="E322" s="266"/>
      <c r="F322" s="268"/>
      <c r="G322" s="268"/>
      <c r="H322" s="269"/>
      <c r="I322" s="278"/>
      <c r="J322" s="278"/>
      <c r="K322" s="270"/>
      <c r="L322" s="270"/>
      <c r="M322" s="5"/>
      <c r="N322" s="279"/>
      <c r="O322" s="279"/>
      <c r="P322" s="274"/>
      <c r="Q322" s="275"/>
      <c r="R322" s="276"/>
    </row>
    <row r="323" spans="1:18" hidden="1">
      <c r="A323" s="283"/>
      <c r="B323" s="266"/>
      <c r="C323" s="266"/>
      <c r="D323" s="267"/>
      <c r="E323" s="266"/>
      <c r="F323" s="268"/>
      <c r="G323" s="268"/>
      <c r="H323" s="269"/>
      <c r="I323" s="278"/>
      <c r="J323" s="278"/>
      <c r="K323" s="270"/>
      <c r="L323" s="270"/>
      <c r="M323" s="5"/>
      <c r="N323" s="277"/>
      <c r="O323" s="277"/>
      <c r="P323" s="274"/>
      <c r="Q323" s="275"/>
    </row>
    <row r="324" spans="1:18" hidden="1">
      <c r="A324" s="283"/>
      <c r="B324" s="266"/>
      <c r="C324" s="266"/>
      <c r="D324" s="267"/>
      <c r="E324" s="266"/>
      <c r="F324" s="268"/>
      <c r="G324" s="285"/>
      <c r="H324" s="269"/>
      <c r="I324" s="278"/>
      <c r="J324" s="278"/>
      <c r="K324" s="270"/>
      <c r="L324" s="270"/>
      <c r="M324" s="5"/>
      <c r="N324" s="277"/>
      <c r="O324" s="277"/>
      <c r="P324" s="274"/>
      <c r="Q324" s="275"/>
    </row>
    <row r="325" spans="1:18" hidden="1">
      <c r="A325" s="283"/>
      <c r="B325" s="266"/>
      <c r="C325" s="266"/>
      <c r="D325" s="289"/>
      <c r="E325" s="266"/>
      <c r="F325" s="268"/>
      <c r="G325" s="268"/>
      <c r="H325" s="269"/>
      <c r="I325" s="278"/>
      <c r="J325" s="278"/>
      <c r="K325" s="269"/>
      <c r="L325" s="270"/>
      <c r="M325" s="5"/>
      <c r="N325" s="277"/>
      <c r="O325" s="277"/>
      <c r="P325" s="274"/>
      <c r="Q325" s="275"/>
    </row>
    <row r="326" spans="1:18" hidden="1">
      <c r="A326" s="283"/>
      <c r="B326" s="266"/>
      <c r="C326" s="266"/>
      <c r="D326" s="267"/>
      <c r="E326" s="266"/>
      <c r="F326" s="268"/>
      <c r="G326" s="268"/>
      <c r="H326" s="269"/>
      <c r="I326" s="278"/>
      <c r="J326" s="278"/>
      <c r="K326" s="269"/>
      <c r="L326" s="270"/>
      <c r="M326" s="5"/>
      <c r="N326" s="277"/>
      <c r="O326" s="277"/>
      <c r="P326" s="274"/>
      <c r="Q326" s="275"/>
    </row>
    <row r="327" spans="1:18" ht="41.4">
      <c r="A327" s="23" t="s">
        <v>1143</v>
      </c>
      <c r="B327" s="3" t="s">
        <v>1144</v>
      </c>
      <c r="C327" s="3" t="s">
        <v>1178</v>
      </c>
      <c r="D327" s="6" t="s">
        <v>18</v>
      </c>
      <c r="E327" s="3">
        <v>1</v>
      </c>
      <c r="F327" s="4" t="s">
        <v>1179</v>
      </c>
      <c r="G327" s="2" t="s">
        <v>1180</v>
      </c>
      <c r="H327" s="11" t="s">
        <v>21</v>
      </c>
      <c r="I327" s="15" t="s">
        <v>21</v>
      </c>
      <c r="J327" s="15" t="s">
        <v>1181</v>
      </c>
      <c r="K327" s="11" t="s">
        <v>21</v>
      </c>
      <c r="L327" s="5" t="s">
        <v>31</v>
      </c>
      <c r="M327" s="5"/>
      <c r="N327" s="277"/>
      <c r="O327" s="277"/>
      <c r="P327" s="202" t="s">
        <v>2647</v>
      </c>
      <c r="Q327" s="201">
        <v>323</v>
      </c>
    </row>
    <row r="328" spans="1:18" ht="136.05000000000001" customHeight="1">
      <c r="A328" s="23" t="s">
        <v>1143</v>
      </c>
      <c r="B328" s="3" t="s">
        <v>1144</v>
      </c>
      <c r="C328" s="3" t="s">
        <v>1178</v>
      </c>
      <c r="D328" s="7" t="s">
        <v>24</v>
      </c>
      <c r="E328" s="3">
        <v>2</v>
      </c>
      <c r="F328" s="4" t="s">
        <v>1182</v>
      </c>
      <c r="G328" s="4" t="s">
        <v>1183</v>
      </c>
      <c r="H328" s="11" t="s">
        <v>27</v>
      </c>
      <c r="I328" s="15" t="s">
        <v>1184</v>
      </c>
      <c r="J328" s="15" t="s">
        <v>1185</v>
      </c>
      <c r="K328" s="5" t="s">
        <v>31</v>
      </c>
      <c r="L328" s="5" t="s">
        <v>31</v>
      </c>
      <c r="M328" s="5"/>
      <c r="N328" s="277"/>
      <c r="O328" s="277"/>
      <c r="P328" s="202" t="s">
        <v>2647</v>
      </c>
      <c r="Q328" s="201">
        <v>324</v>
      </c>
    </row>
    <row r="329" spans="1:18" ht="55.2">
      <c r="A329" s="23" t="s">
        <v>1143</v>
      </c>
      <c r="B329" s="3" t="s">
        <v>1144</v>
      </c>
      <c r="C329" s="3" t="s">
        <v>1178</v>
      </c>
      <c r="D329" s="7" t="s">
        <v>24</v>
      </c>
      <c r="E329" s="3">
        <v>2</v>
      </c>
      <c r="F329" s="4" t="s">
        <v>1186</v>
      </c>
      <c r="G329" s="4" t="s">
        <v>1187</v>
      </c>
      <c r="H329" s="11" t="s">
        <v>27</v>
      </c>
      <c r="I329" s="15" t="s">
        <v>1188</v>
      </c>
      <c r="J329" s="15" t="s">
        <v>1189</v>
      </c>
      <c r="K329" s="5" t="s">
        <v>31</v>
      </c>
      <c r="L329" s="5" t="s">
        <v>31</v>
      </c>
      <c r="M329" s="5"/>
      <c r="N329" s="277"/>
      <c r="O329" s="277"/>
      <c r="P329" s="202" t="s">
        <v>2647</v>
      </c>
      <c r="Q329" s="201">
        <v>325</v>
      </c>
    </row>
    <row r="330" spans="1:18" ht="55.2">
      <c r="A330" s="23" t="s">
        <v>1143</v>
      </c>
      <c r="B330" s="3" t="s">
        <v>1144</v>
      </c>
      <c r="C330" s="3" t="s">
        <v>1178</v>
      </c>
      <c r="D330" s="7" t="s">
        <v>24</v>
      </c>
      <c r="E330" s="3">
        <v>2</v>
      </c>
      <c r="F330" s="4" t="s">
        <v>1190</v>
      </c>
      <c r="G330" s="4" t="s">
        <v>1191</v>
      </c>
      <c r="H330" s="11" t="s">
        <v>27</v>
      </c>
      <c r="I330" s="15" t="s">
        <v>1192</v>
      </c>
      <c r="J330" s="15" t="s">
        <v>1193</v>
      </c>
      <c r="K330" s="5" t="s">
        <v>31</v>
      </c>
      <c r="L330" s="5" t="s">
        <v>31</v>
      </c>
      <c r="M330" s="5"/>
      <c r="N330" s="277"/>
      <c r="O330" s="277"/>
      <c r="P330" s="202" t="s">
        <v>2647</v>
      </c>
      <c r="Q330" s="201">
        <v>326</v>
      </c>
    </row>
    <row r="331" spans="1:18" ht="138">
      <c r="A331" s="23" t="s">
        <v>1143</v>
      </c>
      <c r="B331" s="3" t="s">
        <v>1144</v>
      </c>
      <c r="C331" s="3" t="s">
        <v>1178</v>
      </c>
      <c r="D331" s="7" t="s">
        <v>24</v>
      </c>
      <c r="E331" s="3">
        <v>2</v>
      </c>
      <c r="F331" s="4" t="s">
        <v>1194</v>
      </c>
      <c r="G331" s="4" t="s">
        <v>1195</v>
      </c>
      <c r="H331" s="11" t="s">
        <v>27</v>
      </c>
      <c r="I331" s="15" t="s">
        <v>1196</v>
      </c>
      <c r="J331" s="15" t="s">
        <v>1197</v>
      </c>
      <c r="K331" s="5" t="s">
        <v>31</v>
      </c>
      <c r="L331" s="5" t="s">
        <v>31</v>
      </c>
      <c r="M331" s="5"/>
      <c r="N331" s="277"/>
      <c r="O331" s="277"/>
      <c r="P331" s="202" t="s">
        <v>2647</v>
      </c>
      <c r="Q331" s="201">
        <v>327</v>
      </c>
    </row>
    <row r="332" spans="1:18" ht="55.2">
      <c r="A332" s="23" t="s">
        <v>1143</v>
      </c>
      <c r="B332" s="3" t="s">
        <v>1144</v>
      </c>
      <c r="C332" s="3" t="s">
        <v>1178</v>
      </c>
      <c r="D332" s="7" t="s">
        <v>24</v>
      </c>
      <c r="E332" s="3">
        <v>2</v>
      </c>
      <c r="F332" s="4" t="s">
        <v>1198</v>
      </c>
      <c r="G332" s="4" t="s">
        <v>1199</v>
      </c>
      <c r="H332" s="11" t="s">
        <v>55</v>
      </c>
      <c r="I332" s="15" t="s">
        <v>1200</v>
      </c>
      <c r="J332" s="15" t="s">
        <v>1201</v>
      </c>
      <c r="K332" s="5" t="s">
        <v>31</v>
      </c>
      <c r="L332" s="5" t="s">
        <v>31</v>
      </c>
      <c r="M332" s="5"/>
      <c r="N332" s="277"/>
      <c r="O332" s="277"/>
      <c r="P332" s="202" t="s">
        <v>2647</v>
      </c>
      <c r="Q332" s="201">
        <v>328</v>
      </c>
    </row>
    <row r="333" spans="1:18" hidden="1">
      <c r="A333" s="283"/>
      <c r="B333" s="266"/>
      <c r="C333" s="266"/>
      <c r="D333" s="267"/>
      <c r="E333" s="266"/>
      <c r="F333" s="268"/>
      <c r="G333" s="268"/>
      <c r="H333" s="269"/>
      <c r="I333" s="278"/>
      <c r="J333" s="278"/>
      <c r="K333" s="270"/>
      <c r="L333" s="270"/>
      <c r="M333" s="5"/>
      <c r="N333" s="277"/>
      <c r="O333" s="277"/>
      <c r="P333" s="274"/>
      <c r="Q333" s="275"/>
    </row>
    <row r="334" spans="1:18" hidden="1">
      <c r="A334" s="283"/>
      <c r="B334" s="266"/>
      <c r="C334" s="266"/>
      <c r="D334" s="267"/>
      <c r="E334" s="266"/>
      <c r="F334" s="268"/>
      <c r="G334" s="268"/>
      <c r="H334" s="269"/>
      <c r="I334" s="278"/>
      <c r="J334" s="278"/>
      <c r="K334" s="269"/>
      <c r="L334" s="270"/>
      <c r="M334" s="5"/>
      <c r="N334" s="277"/>
      <c r="O334" s="277"/>
      <c r="P334" s="274"/>
      <c r="Q334" s="275"/>
    </row>
    <row r="335" spans="1:18" hidden="1">
      <c r="A335" s="283"/>
      <c r="B335" s="266"/>
      <c r="C335" s="266"/>
      <c r="D335" s="289"/>
      <c r="E335" s="266"/>
      <c r="F335" s="268"/>
      <c r="G335" s="268"/>
      <c r="H335" s="269"/>
      <c r="I335" s="278"/>
      <c r="J335" s="278"/>
      <c r="K335" s="270"/>
      <c r="L335" s="270"/>
      <c r="M335" s="5"/>
      <c r="N335" s="277"/>
      <c r="O335" s="277"/>
      <c r="P335" s="274"/>
      <c r="Q335" s="275"/>
    </row>
    <row r="336" spans="1:18" hidden="1">
      <c r="A336" s="283"/>
      <c r="B336" s="266"/>
      <c r="C336" s="266"/>
      <c r="D336" s="267"/>
      <c r="E336" s="266"/>
      <c r="F336" s="268"/>
      <c r="G336" s="268"/>
      <c r="H336" s="269"/>
      <c r="I336" s="278"/>
      <c r="J336" s="278"/>
      <c r="K336" s="269"/>
      <c r="L336" s="270"/>
      <c r="M336" s="5"/>
      <c r="N336" s="277"/>
      <c r="O336" s="277"/>
      <c r="P336" s="274"/>
      <c r="Q336" s="275"/>
    </row>
    <row r="337" spans="1:17" ht="55.2">
      <c r="A337" s="23" t="s">
        <v>1143</v>
      </c>
      <c r="B337" s="3" t="s">
        <v>1144</v>
      </c>
      <c r="C337" s="3" t="s">
        <v>1216</v>
      </c>
      <c r="D337" s="6" t="s">
        <v>18</v>
      </c>
      <c r="E337" s="3">
        <v>1</v>
      </c>
      <c r="F337" s="4" t="s">
        <v>1217</v>
      </c>
      <c r="G337" s="2" t="s">
        <v>1218</v>
      </c>
      <c r="H337" s="11" t="s">
        <v>21</v>
      </c>
      <c r="I337" s="15" t="s">
        <v>21</v>
      </c>
      <c r="J337" s="15" t="s">
        <v>1219</v>
      </c>
      <c r="K337" s="11" t="s">
        <v>21</v>
      </c>
      <c r="L337" s="5" t="s">
        <v>31</v>
      </c>
      <c r="M337" s="5"/>
      <c r="N337" s="277"/>
      <c r="O337" s="277"/>
      <c r="P337" s="202" t="s">
        <v>2647</v>
      </c>
      <c r="Q337" s="201">
        <v>333</v>
      </c>
    </row>
    <row r="338" spans="1:17" ht="157.05000000000001" customHeight="1">
      <c r="A338" s="23" t="s">
        <v>1143</v>
      </c>
      <c r="B338" s="3" t="s">
        <v>1144</v>
      </c>
      <c r="C338" s="3" t="s">
        <v>1216</v>
      </c>
      <c r="D338" s="7" t="s">
        <v>24</v>
      </c>
      <c r="E338" s="3">
        <v>2</v>
      </c>
      <c r="F338" s="4" t="s">
        <v>1220</v>
      </c>
      <c r="G338" s="4" t="s">
        <v>1221</v>
      </c>
      <c r="H338" s="11" t="s">
        <v>27</v>
      </c>
      <c r="I338" s="15" t="s">
        <v>1222</v>
      </c>
      <c r="J338" s="15" t="s">
        <v>1223</v>
      </c>
      <c r="K338" s="5" t="s">
        <v>31</v>
      </c>
      <c r="L338" s="5" t="s">
        <v>31</v>
      </c>
      <c r="M338" s="5"/>
      <c r="N338" s="277"/>
      <c r="O338" s="277"/>
      <c r="P338" s="202" t="s">
        <v>2647</v>
      </c>
      <c r="Q338" s="201">
        <v>334</v>
      </c>
    </row>
    <row r="339" spans="1:17" ht="138">
      <c r="A339" s="23" t="s">
        <v>1143</v>
      </c>
      <c r="B339" s="3" t="s">
        <v>1144</v>
      </c>
      <c r="C339" s="3" t="s">
        <v>1216</v>
      </c>
      <c r="D339" s="7" t="s">
        <v>24</v>
      </c>
      <c r="E339" s="3">
        <v>2</v>
      </c>
      <c r="F339" s="4" t="s">
        <v>1224</v>
      </c>
      <c r="G339" s="4" t="s">
        <v>1225</v>
      </c>
      <c r="H339" s="11" t="s">
        <v>27</v>
      </c>
      <c r="I339" s="15" t="s">
        <v>1226</v>
      </c>
      <c r="J339" s="15" t="s">
        <v>1227</v>
      </c>
      <c r="K339" s="5" t="s">
        <v>31</v>
      </c>
      <c r="L339" s="5" t="s">
        <v>31</v>
      </c>
      <c r="M339" s="5"/>
      <c r="N339" s="277"/>
      <c r="O339" s="277"/>
      <c r="P339" s="202" t="s">
        <v>2647</v>
      </c>
      <c r="Q339" s="201">
        <v>335</v>
      </c>
    </row>
    <row r="340" spans="1:17" ht="262.2">
      <c r="A340" s="23" t="s">
        <v>1143</v>
      </c>
      <c r="B340" s="3" t="s">
        <v>1144</v>
      </c>
      <c r="C340" s="3" t="s">
        <v>1216</v>
      </c>
      <c r="D340" s="7" t="s">
        <v>24</v>
      </c>
      <c r="E340" s="3">
        <v>2</v>
      </c>
      <c r="F340" s="4" t="s">
        <v>1228</v>
      </c>
      <c r="G340" s="4" t="s">
        <v>1229</v>
      </c>
      <c r="H340" s="11" t="s">
        <v>55</v>
      </c>
      <c r="I340" s="15" t="s">
        <v>1230</v>
      </c>
      <c r="J340" s="15" t="s">
        <v>1231</v>
      </c>
      <c r="K340" s="5" t="s">
        <v>31</v>
      </c>
      <c r="L340" s="5" t="s">
        <v>31</v>
      </c>
      <c r="M340" s="5"/>
      <c r="N340" s="277"/>
      <c r="O340" s="277"/>
      <c r="P340" s="202" t="s">
        <v>2647</v>
      </c>
      <c r="Q340" s="201">
        <v>336</v>
      </c>
    </row>
    <row r="341" spans="1:17" ht="220.8">
      <c r="A341" s="23" t="s">
        <v>1143</v>
      </c>
      <c r="B341" s="3" t="s">
        <v>1144</v>
      </c>
      <c r="C341" s="3" t="s">
        <v>1216</v>
      </c>
      <c r="D341" s="7" t="s">
        <v>24</v>
      </c>
      <c r="E341" s="3">
        <v>2</v>
      </c>
      <c r="F341" s="4" t="s">
        <v>1232</v>
      </c>
      <c r="G341" s="4" t="s">
        <v>1233</v>
      </c>
      <c r="H341" s="11" t="s">
        <v>55</v>
      </c>
      <c r="I341" s="15" t="s">
        <v>1234</v>
      </c>
      <c r="J341" s="15" t="s">
        <v>1235</v>
      </c>
      <c r="K341" s="5" t="s">
        <v>31</v>
      </c>
      <c r="L341" s="5" t="s">
        <v>31</v>
      </c>
      <c r="M341" s="5"/>
      <c r="N341" s="277"/>
      <c r="O341" s="277"/>
      <c r="P341" s="202" t="s">
        <v>2647</v>
      </c>
      <c r="Q341" s="201">
        <v>337</v>
      </c>
    </row>
    <row r="342" spans="1:17" hidden="1">
      <c r="A342" s="283"/>
      <c r="B342" s="266"/>
      <c r="C342" s="266"/>
      <c r="D342" s="267"/>
      <c r="E342" s="266"/>
      <c r="F342" s="268"/>
      <c r="G342" s="268"/>
      <c r="H342" s="269"/>
      <c r="I342" s="278"/>
      <c r="J342" s="278"/>
      <c r="K342" s="270"/>
      <c r="L342" s="270"/>
      <c r="M342" s="5"/>
      <c r="N342" s="277"/>
      <c r="O342" s="277"/>
      <c r="P342" s="274"/>
      <c r="Q342" s="275"/>
    </row>
    <row r="343" spans="1:17" hidden="1">
      <c r="A343" s="283"/>
      <c r="B343" s="266"/>
      <c r="C343" s="266"/>
      <c r="D343" s="267"/>
      <c r="E343" s="266"/>
      <c r="F343" s="268"/>
      <c r="G343" s="285"/>
      <c r="H343" s="269"/>
      <c r="I343" s="278"/>
      <c r="J343" s="278"/>
      <c r="K343" s="270"/>
      <c r="L343" s="270"/>
      <c r="M343" s="5"/>
      <c r="N343" s="277"/>
      <c r="O343" s="277"/>
      <c r="P343" s="274"/>
      <c r="Q343" s="275"/>
    </row>
    <row r="344" spans="1:17" hidden="1">
      <c r="A344" s="283"/>
      <c r="B344" s="266"/>
      <c r="C344" s="266"/>
      <c r="D344" s="289"/>
      <c r="E344" s="266"/>
      <c r="F344" s="268"/>
      <c r="G344" s="268"/>
      <c r="H344" s="269"/>
      <c r="I344" s="278"/>
      <c r="J344" s="278"/>
      <c r="K344" s="269"/>
      <c r="L344" s="270"/>
      <c r="M344" s="5"/>
      <c r="N344" s="277"/>
      <c r="O344" s="277"/>
      <c r="P344" s="274"/>
      <c r="Q344" s="275"/>
    </row>
    <row r="345" spans="1:17" hidden="1">
      <c r="A345" s="283"/>
      <c r="B345" s="266"/>
      <c r="C345" s="266"/>
      <c r="D345" s="267"/>
      <c r="E345" s="266"/>
      <c r="F345" s="268"/>
      <c r="G345" s="268"/>
      <c r="H345" s="269"/>
      <c r="I345" s="278"/>
      <c r="J345" s="278"/>
      <c r="K345" s="269"/>
      <c r="L345" s="270"/>
      <c r="M345" s="5"/>
      <c r="N345" s="277"/>
      <c r="O345" s="277"/>
      <c r="P345" s="274"/>
      <c r="Q345" s="275"/>
    </row>
    <row r="346" spans="1:17" ht="27.6">
      <c r="A346" s="23" t="s">
        <v>1250</v>
      </c>
      <c r="B346" s="3" t="s">
        <v>1251</v>
      </c>
      <c r="C346" s="3" t="s">
        <v>1252</v>
      </c>
      <c r="D346" s="26" t="s">
        <v>18</v>
      </c>
      <c r="E346" s="3">
        <v>1</v>
      </c>
      <c r="F346" s="14" t="s">
        <v>1253</v>
      </c>
      <c r="G346" s="14" t="s">
        <v>1254</v>
      </c>
      <c r="H346" s="11" t="s">
        <v>21</v>
      </c>
      <c r="I346" s="15" t="s">
        <v>21</v>
      </c>
      <c r="J346" s="15" t="s">
        <v>1255</v>
      </c>
      <c r="K346" s="11" t="s">
        <v>21</v>
      </c>
      <c r="L346" s="5" t="s">
        <v>23</v>
      </c>
      <c r="M346" s="5"/>
      <c r="N346" s="277"/>
      <c r="O346" s="277" t="s">
        <v>2515</v>
      </c>
      <c r="P346" s="202" t="s">
        <v>2593</v>
      </c>
      <c r="Q346" s="201">
        <v>342</v>
      </c>
    </row>
    <row r="347" spans="1:17" ht="96.6">
      <c r="A347" s="23" t="s">
        <v>1250</v>
      </c>
      <c r="B347" s="3" t="s">
        <v>1251</v>
      </c>
      <c r="C347" s="3" t="s">
        <v>1252</v>
      </c>
      <c r="D347" s="7" t="s">
        <v>24</v>
      </c>
      <c r="E347" s="3">
        <v>2</v>
      </c>
      <c r="F347" s="1" t="s">
        <v>1256</v>
      </c>
      <c r="G347" s="4" t="s">
        <v>1257</v>
      </c>
      <c r="H347" s="11" t="s">
        <v>27</v>
      </c>
      <c r="I347" s="15" t="s">
        <v>1258</v>
      </c>
      <c r="J347" s="15" t="s">
        <v>1259</v>
      </c>
      <c r="K347" s="5" t="s">
        <v>23</v>
      </c>
      <c r="L347" s="5" t="s">
        <v>23</v>
      </c>
      <c r="M347" s="5"/>
      <c r="N347" s="277"/>
      <c r="O347" s="277" t="s">
        <v>2516</v>
      </c>
      <c r="P347" s="202" t="s">
        <v>2593</v>
      </c>
      <c r="Q347" s="201">
        <v>343</v>
      </c>
    </row>
    <row r="348" spans="1:17" hidden="1">
      <c r="A348" s="283"/>
      <c r="B348" s="266"/>
      <c r="C348" s="266"/>
      <c r="D348" s="267"/>
      <c r="E348" s="266"/>
      <c r="F348" s="285"/>
      <c r="G348" s="285"/>
      <c r="H348" s="269"/>
      <c r="I348" s="278"/>
      <c r="J348" s="278"/>
      <c r="K348" s="269"/>
      <c r="L348" s="270"/>
      <c r="M348" s="5"/>
      <c r="N348" s="277"/>
      <c r="O348" s="277"/>
      <c r="P348" s="274"/>
      <c r="Q348" s="275"/>
    </row>
    <row r="349" spans="1:17" ht="136.80000000000001" hidden="1" customHeight="1">
      <c r="A349" s="283"/>
      <c r="B349" s="266"/>
      <c r="C349" s="266"/>
      <c r="D349" s="267"/>
      <c r="E349" s="266"/>
      <c r="F349" s="285"/>
      <c r="G349" s="285"/>
      <c r="H349" s="269"/>
      <c r="I349" s="278"/>
      <c r="J349" s="278"/>
      <c r="K349" s="269"/>
      <c r="L349" s="270"/>
      <c r="M349" s="5"/>
      <c r="N349" s="277"/>
      <c r="O349" s="277"/>
      <c r="P349" s="274"/>
      <c r="Q349" s="275"/>
    </row>
    <row r="350" spans="1:17" ht="399" hidden="1" customHeight="1">
      <c r="A350" s="283"/>
      <c r="B350" s="266"/>
      <c r="C350" s="266"/>
      <c r="D350" s="289"/>
      <c r="E350" s="266"/>
      <c r="F350" s="291"/>
      <c r="G350" s="268"/>
      <c r="H350" s="269"/>
      <c r="I350" s="278"/>
      <c r="J350" s="278"/>
      <c r="K350" s="269"/>
      <c r="L350" s="270"/>
      <c r="M350" s="5"/>
      <c r="N350" s="277"/>
      <c r="O350" s="277"/>
      <c r="P350" s="274"/>
      <c r="Q350" s="275"/>
    </row>
    <row r="351" spans="1:17" ht="151.94999999999999" hidden="1" customHeight="1">
      <c r="A351" s="283"/>
      <c r="B351" s="266"/>
      <c r="C351" s="266"/>
      <c r="D351" s="267"/>
      <c r="E351" s="266"/>
      <c r="F351" s="292"/>
      <c r="G351" s="268"/>
      <c r="H351" s="269"/>
      <c r="I351" s="278"/>
      <c r="J351" s="278"/>
      <c r="K351" s="269"/>
      <c r="L351" s="270"/>
      <c r="M351" s="5"/>
      <c r="N351" s="277"/>
      <c r="O351" s="277"/>
      <c r="P351" s="274"/>
      <c r="Q351" s="275"/>
    </row>
    <row r="352" spans="1:17" ht="128.55000000000001" customHeight="1">
      <c r="A352" s="23" t="s">
        <v>1250</v>
      </c>
      <c r="B352" s="3" t="s">
        <v>1251</v>
      </c>
      <c r="C352" s="3" t="s">
        <v>1272</v>
      </c>
      <c r="D352" s="27" t="s">
        <v>18</v>
      </c>
      <c r="E352" s="3">
        <v>1</v>
      </c>
      <c r="F352" s="1" t="s">
        <v>1273</v>
      </c>
      <c r="G352" s="4" t="s">
        <v>1274</v>
      </c>
      <c r="H352" s="11" t="s">
        <v>21</v>
      </c>
      <c r="I352" s="15" t="s">
        <v>21</v>
      </c>
      <c r="J352" s="15" t="s">
        <v>1275</v>
      </c>
      <c r="K352" s="11" t="s">
        <v>21</v>
      </c>
      <c r="L352" s="5" t="s">
        <v>2572</v>
      </c>
      <c r="M352" s="5"/>
      <c r="N352" s="277" t="s">
        <v>2627</v>
      </c>
      <c r="O352" s="277" t="s">
        <v>2516</v>
      </c>
      <c r="P352" s="202" t="s">
        <v>2593</v>
      </c>
      <c r="Q352" s="201">
        <v>348</v>
      </c>
    </row>
    <row r="353" spans="1:17" ht="322.95" customHeight="1">
      <c r="A353" s="23" t="s">
        <v>1250</v>
      </c>
      <c r="B353" s="3" t="s">
        <v>1251</v>
      </c>
      <c r="C353" s="3" t="s">
        <v>1272</v>
      </c>
      <c r="D353" s="7" t="s">
        <v>24</v>
      </c>
      <c r="E353" s="3">
        <v>2</v>
      </c>
      <c r="F353" s="1" t="s">
        <v>1276</v>
      </c>
      <c r="G353" s="4" t="s">
        <v>1277</v>
      </c>
      <c r="H353" s="11" t="s">
        <v>21</v>
      </c>
      <c r="I353" s="15" t="s">
        <v>21</v>
      </c>
      <c r="J353" s="15" t="s">
        <v>1278</v>
      </c>
      <c r="K353" s="11" t="s">
        <v>21</v>
      </c>
      <c r="L353" s="5" t="s">
        <v>2572</v>
      </c>
      <c r="M353" s="5"/>
      <c r="N353" s="277" t="s">
        <v>2627</v>
      </c>
      <c r="O353" s="277" t="s">
        <v>2566</v>
      </c>
      <c r="P353" s="202" t="s">
        <v>2593</v>
      </c>
      <c r="Q353" s="201">
        <v>349</v>
      </c>
    </row>
    <row r="354" spans="1:17" ht="204" customHeight="1">
      <c r="A354" s="23" t="s">
        <v>1250</v>
      </c>
      <c r="B354" s="3" t="s">
        <v>1251</v>
      </c>
      <c r="C354" s="3" t="s">
        <v>1272</v>
      </c>
      <c r="D354" s="7" t="s">
        <v>24</v>
      </c>
      <c r="E354" s="3">
        <v>2</v>
      </c>
      <c r="F354" s="1" t="s">
        <v>1279</v>
      </c>
      <c r="G354" s="4" t="s">
        <v>1280</v>
      </c>
      <c r="H354" s="11" t="s">
        <v>27</v>
      </c>
      <c r="I354" s="15" t="s">
        <v>1281</v>
      </c>
      <c r="J354" s="15" t="s">
        <v>1282</v>
      </c>
      <c r="K354" s="5" t="s">
        <v>30</v>
      </c>
      <c r="L354" s="5" t="s">
        <v>23</v>
      </c>
      <c r="M354" s="5">
        <v>1</v>
      </c>
      <c r="N354" s="277" t="s">
        <v>2604</v>
      </c>
      <c r="O354" s="277" t="s">
        <v>2566</v>
      </c>
      <c r="P354" s="202" t="s">
        <v>2593</v>
      </c>
      <c r="Q354" s="201">
        <v>350</v>
      </c>
    </row>
    <row r="355" spans="1:17" ht="124.2">
      <c r="A355" s="23" t="s">
        <v>1250</v>
      </c>
      <c r="B355" s="3" t="s">
        <v>1251</v>
      </c>
      <c r="C355" s="3" t="s">
        <v>1272</v>
      </c>
      <c r="D355" s="7" t="s">
        <v>24</v>
      </c>
      <c r="E355" s="3">
        <v>2</v>
      </c>
      <c r="F355" s="13" t="s">
        <v>1283</v>
      </c>
      <c r="G355" s="4" t="s">
        <v>1284</v>
      </c>
      <c r="H355" s="11" t="s">
        <v>27</v>
      </c>
      <c r="I355" s="15" t="s">
        <v>1281</v>
      </c>
      <c r="J355" s="15" t="s">
        <v>1285</v>
      </c>
      <c r="K355" s="5" t="s">
        <v>30</v>
      </c>
      <c r="L355" s="5" t="s">
        <v>31</v>
      </c>
      <c r="M355" s="5">
        <v>1</v>
      </c>
      <c r="N355" s="277"/>
      <c r="O355" s="277"/>
      <c r="P355" s="202" t="s">
        <v>2593</v>
      </c>
      <c r="Q355" s="201">
        <v>351</v>
      </c>
    </row>
    <row r="356" spans="1:17" ht="193.2">
      <c r="A356" s="23" t="s">
        <v>1250</v>
      </c>
      <c r="B356" s="3" t="s">
        <v>1251</v>
      </c>
      <c r="C356" s="3" t="s">
        <v>1272</v>
      </c>
      <c r="D356" s="28" t="s">
        <v>24</v>
      </c>
      <c r="E356" s="3">
        <v>2</v>
      </c>
      <c r="F356" s="13" t="s">
        <v>1286</v>
      </c>
      <c r="G356" s="4" t="s">
        <v>1287</v>
      </c>
      <c r="H356" s="11" t="s">
        <v>27</v>
      </c>
      <c r="I356" s="15" t="s">
        <v>1288</v>
      </c>
      <c r="J356" s="15" t="s">
        <v>1289</v>
      </c>
      <c r="K356" s="5" t="s">
        <v>31</v>
      </c>
      <c r="L356" s="5" t="s">
        <v>31</v>
      </c>
      <c r="M356" s="5"/>
      <c r="N356" s="277"/>
      <c r="O356" s="277"/>
      <c r="P356" s="202" t="s">
        <v>2593</v>
      </c>
      <c r="Q356" s="201">
        <v>352</v>
      </c>
    </row>
    <row r="357" spans="1:17" ht="303.60000000000002">
      <c r="A357" s="23" t="s">
        <v>1250</v>
      </c>
      <c r="B357" s="3" t="s">
        <v>1251</v>
      </c>
      <c r="C357" s="3" t="s">
        <v>1272</v>
      </c>
      <c r="D357" s="7" t="s">
        <v>24</v>
      </c>
      <c r="E357" s="3">
        <v>2</v>
      </c>
      <c r="F357" s="13" t="s">
        <v>1290</v>
      </c>
      <c r="G357" s="4" t="s">
        <v>1291</v>
      </c>
      <c r="H357" s="11" t="s">
        <v>27</v>
      </c>
      <c r="I357" s="15" t="s">
        <v>1292</v>
      </c>
      <c r="J357" s="15" t="s">
        <v>1293</v>
      </c>
      <c r="K357" s="5" t="s">
        <v>31</v>
      </c>
      <c r="L357" s="5" t="s">
        <v>31</v>
      </c>
      <c r="M357" s="5"/>
      <c r="N357" s="277"/>
      <c r="O357" s="277"/>
      <c r="P357" s="202" t="s">
        <v>2593</v>
      </c>
      <c r="Q357" s="201">
        <v>353</v>
      </c>
    </row>
    <row r="358" spans="1:17" ht="123" customHeight="1">
      <c r="A358" s="23" t="s">
        <v>1250</v>
      </c>
      <c r="B358" s="3" t="s">
        <v>1251</v>
      </c>
      <c r="C358" s="3" t="s">
        <v>1272</v>
      </c>
      <c r="D358" s="7" t="s">
        <v>24</v>
      </c>
      <c r="E358" s="3">
        <v>2</v>
      </c>
      <c r="F358" s="14" t="s">
        <v>1294</v>
      </c>
      <c r="G358" s="4" t="s">
        <v>1295</v>
      </c>
      <c r="H358" s="11" t="s">
        <v>21</v>
      </c>
      <c r="I358" s="15" t="s">
        <v>21</v>
      </c>
      <c r="J358" s="15" t="s">
        <v>1296</v>
      </c>
      <c r="K358" s="11" t="s">
        <v>21</v>
      </c>
      <c r="L358" s="5" t="s">
        <v>31</v>
      </c>
      <c r="M358" s="5"/>
      <c r="N358" s="277"/>
      <c r="O358" s="277"/>
      <c r="P358" s="202" t="s">
        <v>2593</v>
      </c>
      <c r="Q358" s="201">
        <v>354</v>
      </c>
    </row>
    <row r="359" spans="1:17" ht="151.80000000000001">
      <c r="A359" s="23" t="s">
        <v>1250</v>
      </c>
      <c r="B359" s="3" t="s">
        <v>1251</v>
      </c>
      <c r="C359" s="3" t="s">
        <v>1272</v>
      </c>
      <c r="D359" s="7" t="s">
        <v>24</v>
      </c>
      <c r="E359" s="3">
        <v>2</v>
      </c>
      <c r="F359" s="1" t="s">
        <v>1297</v>
      </c>
      <c r="G359" s="4" t="s">
        <v>1298</v>
      </c>
      <c r="H359" s="11" t="s">
        <v>55</v>
      </c>
      <c r="I359" s="15" t="s">
        <v>1299</v>
      </c>
      <c r="J359" s="15" t="s">
        <v>1300</v>
      </c>
      <c r="K359" s="5" t="s">
        <v>31</v>
      </c>
      <c r="L359" s="5" t="s">
        <v>31</v>
      </c>
      <c r="M359" s="5"/>
      <c r="N359" s="277"/>
      <c r="O359" s="277"/>
      <c r="P359" s="202" t="s">
        <v>2593</v>
      </c>
      <c r="Q359" s="201">
        <v>355</v>
      </c>
    </row>
    <row r="360" spans="1:17" ht="163.5" hidden="1" customHeight="1">
      <c r="A360" s="283"/>
      <c r="B360" s="266"/>
      <c r="C360" s="266"/>
      <c r="D360" s="293"/>
      <c r="E360" s="266"/>
      <c r="F360" s="292"/>
      <c r="G360" s="268"/>
      <c r="H360" s="269"/>
      <c r="I360" s="278"/>
      <c r="J360" s="278"/>
      <c r="K360" s="269"/>
      <c r="L360" s="270"/>
      <c r="M360" s="5"/>
      <c r="N360" s="277"/>
      <c r="O360" s="277"/>
      <c r="P360" s="274"/>
      <c r="Q360" s="275"/>
    </row>
    <row r="361" spans="1:17" ht="139.05000000000001" hidden="1" customHeight="1">
      <c r="A361" s="283"/>
      <c r="B361" s="266"/>
      <c r="C361" s="266"/>
      <c r="D361" s="293"/>
      <c r="E361" s="266"/>
      <c r="F361" s="292"/>
      <c r="G361" s="268"/>
      <c r="H361" s="269"/>
      <c r="I361" s="278"/>
      <c r="J361" s="278"/>
      <c r="K361" s="270"/>
      <c r="L361" s="270"/>
      <c r="M361" s="5"/>
      <c r="N361" s="277"/>
      <c r="O361" s="277"/>
      <c r="P361" s="274"/>
      <c r="Q361" s="275"/>
    </row>
    <row r="362" spans="1:17" ht="174" hidden="1" customHeight="1">
      <c r="A362" s="283"/>
      <c r="B362" s="266"/>
      <c r="C362" s="266"/>
      <c r="D362" s="293"/>
      <c r="E362" s="266"/>
      <c r="F362" s="294"/>
      <c r="G362" s="268"/>
      <c r="H362" s="269"/>
      <c r="I362" s="278"/>
      <c r="J362" s="278"/>
      <c r="K362" s="269"/>
      <c r="L362" s="270"/>
      <c r="M362" s="5"/>
      <c r="N362" s="277"/>
      <c r="O362" s="277"/>
      <c r="P362" s="274"/>
      <c r="Q362" s="275"/>
    </row>
    <row r="363" spans="1:17" hidden="1">
      <c r="A363" s="283"/>
      <c r="B363" s="266"/>
      <c r="C363" s="266"/>
      <c r="D363" s="295"/>
      <c r="E363" s="266"/>
      <c r="F363" s="292"/>
      <c r="G363" s="268"/>
      <c r="H363" s="269"/>
      <c r="I363" s="278"/>
      <c r="J363" s="278"/>
      <c r="K363" s="270"/>
      <c r="L363" s="270"/>
      <c r="M363" s="5">
        <v>1</v>
      </c>
      <c r="N363" s="277"/>
      <c r="O363" s="277"/>
      <c r="P363" s="274"/>
      <c r="Q363" s="275"/>
    </row>
    <row r="364" spans="1:17" hidden="1">
      <c r="A364" s="283"/>
      <c r="B364" s="266"/>
      <c r="C364" s="266"/>
      <c r="D364" s="295"/>
      <c r="E364" s="266"/>
      <c r="F364" s="291"/>
      <c r="G364" s="268"/>
      <c r="H364" s="269"/>
      <c r="I364" s="278"/>
      <c r="J364" s="278"/>
      <c r="K364" s="269"/>
      <c r="L364" s="270"/>
      <c r="M364" s="5"/>
      <c r="N364" s="277"/>
      <c r="O364" s="277"/>
      <c r="P364" s="274"/>
      <c r="Q364" s="275"/>
    </row>
    <row r="365" spans="1:17" ht="92.55" hidden="1" customHeight="1">
      <c r="A365" s="283"/>
      <c r="B365" s="266"/>
      <c r="C365" s="266"/>
      <c r="D365" s="295"/>
      <c r="E365" s="266"/>
      <c r="F365" s="292"/>
      <c r="G365" s="268"/>
      <c r="H365" s="269"/>
      <c r="I365" s="278"/>
      <c r="J365" s="278"/>
      <c r="K365" s="269"/>
      <c r="L365" s="270"/>
      <c r="M365" s="5"/>
      <c r="N365" s="277"/>
      <c r="O365" s="277"/>
      <c r="P365" s="274"/>
      <c r="Q365" s="275"/>
    </row>
    <row r="366" spans="1:17" ht="71.55" customHeight="1">
      <c r="A366" s="23" t="s">
        <v>1250</v>
      </c>
      <c r="B366" s="3" t="s">
        <v>1251</v>
      </c>
      <c r="C366" s="3" t="s">
        <v>1321</v>
      </c>
      <c r="D366" s="27" t="s">
        <v>18</v>
      </c>
      <c r="E366" s="3">
        <v>1</v>
      </c>
      <c r="F366" s="13" t="s">
        <v>1322</v>
      </c>
      <c r="G366" s="4" t="s">
        <v>1323</v>
      </c>
      <c r="H366" s="11" t="s">
        <v>21</v>
      </c>
      <c r="I366" s="15" t="s">
        <v>21</v>
      </c>
      <c r="J366" s="15" t="s">
        <v>1324</v>
      </c>
      <c r="K366" s="11" t="s">
        <v>21</v>
      </c>
      <c r="L366" s="5" t="s">
        <v>31</v>
      </c>
      <c r="M366" s="5"/>
      <c r="N366" s="277" t="s">
        <v>2568</v>
      </c>
      <c r="O366" s="303" t="s">
        <v>1321</v>
      </c>
      <c r="P366" s="202" t="s">
        <v>2593</v>
      </c>
      <c r="Q366" s="201">
        <v>362</v>
      </c>
    </row>
    <row r="367" spans="1:17" ht="92.55" customHeight="1">
      <c r="A367" s="23" t="s">
        <v>1250</v>
      </c>
      <c r="B367" s="3" t="s">
        <v>1251</v>
      </c>
      <c r="C367" s="3" t="s">
        <v>1321</v>
      </c>
      <c r="D367" s="27" t="s">
        <v>18</v>
      </c>
      <c r="E367" s="3">
        <v>1</v>
      </c>
      <c r="F367" s="1" t="s">
        <v>1325</v>
      </c>
      <c r="G367" s="24" t="s">
        <v>1326</v>
      </c>
      <c r="H367" s="11" t="s">
        <v>21</v>
      </c>
      <c r="I367" s="15" t="s">
        <v>21</v>
      </c>
      <c r="J367" s="15" t="s">
        <v>1327</v>
      </c>
      <c r="K367" s="11" t="s">
        <v>21</v>
      </c>
      <c r="L367" s="5" t="s">
        <v>23</v>
      </c>
      <c r="M367" s="5"/>
      <c r="N367" s="277"/>
      <c r="O367" s="304" t="s">
        <v>2566</v>
      </c>
      <c r="P367" s="202" t="s">
        <v>2593</v>
      </c>
      <c r="Q367" s="201">
        <v>363</v>
      </c>
    </row>
    <row r="368" spans="1:17" ht="110.4">
      <c r="A368" s="23" t="s">
        <v>1250</v>
      </c>
      <c r="B368" s="3" t="s">
        <v>1251</v>
      </c>
      <c r="C368" s="3" t="s">
        <v>1321</v>
      </c>
      <c r="D368" s="32" t="s">
        <v>24</v>
      </c>
      <c r="E368" s="3">
        <v>2</v>
      </c>
      <c r="F368" s="2" t="s">
        <v>1328</v>
      </c>
      <c r="G368" s="25" t="s">
        <v>1329</v>
      </c>
      <c r="H368" s="11" t="s">
        <v>21</v>
      </c>
      <c r="I368" s="15" t="s">
        <v>21</v>
      </c>
      <c r="J368" s="15" t="s">
        <v>1330</v>
      </c>
      <c r="K368" s="11" t="s">
        <v>21</v>
      </c>
      <c r="L368" s="5" t="s">
        <v>31</v>
      </c>
      <c r="M368" s="5"/>
      <c r="N368" s="277"/>
      <c r="O368" s="277"/>
      <c r="P368" s="202" t="s">
        <v>2593</v>
      </c>
      <c r="Q368" s="201">
        <v>364</v>
      </c>
    </row>
    <row r="369" spans="1:17" ht="241.05" customHeight="1">
      <c r="A369" s="23" t="s">
        <v>1250</v>
      </c>
      <c r="B369" s="3" t="s">
        <v>1251</v>
      </c>
      <c r="C369" s="3" t="s">
        <v>1321</v>
      </c>
      <c r="D369" s="32" t="s">
        <v>24</v>
      </c>
      <c r="E369" s="3">
        <v>2</v>
      </c>
      <c r="F369" s="1" t="s">
        <v>1331</v>
      </c>
      <c r="G369" s="25" t="s">
        <v>1332</v>
      </c>
      <c r="H369" s="11" t="s">
        <v>21</v>
      </c>
      <c r="I369" s="15" t="s">
        <v>21</v>
      </c>
      <c r="J369" s="15" t="s">
        <v>1333</v>
      </c>
      <c r="K369" s="11" t="s">
        <v>21</v>
      </c>
      <c r="L369" s="5" t="s">
        <v>31</v>
      </c>
      <c r="M369" s="5"/>
      <c r="N369" s="277"/>
      <c r="O369" s="277"/>
      <c r="P369" s="202" t="s">
        <v>2593</v>
      </c>
      <c r="Q369" s="201">
        <v>365</v>
      </c>
    </row>
    <row r="370" spans="1:17" ht="221.55" customHeight="1">
      <c r="A370" s="23" t="s">
        <v>1250</v>
      </c>
      <c r="B370" s="3" t="s">
        <v>1251</v>
      </c>
      <c r="C370" s="3" t="s">
        <v>1321</v>
      </c>
      <c r="D370" s="32" t="s">
        <v>24</v>
      </c>
      <c r="E370" s="3">
        <v>2</v>
      </c>
      <c r="F370" s="1" t="s">
        <v>1334</v>
      </c>
      <c r="G370" s="24" t="s">
        <v>1335</v>
      </c>
      <c r="H370" s="11" t="s">
        <v>21</v>
      </c>
      <c r="I370" s="15" t="s">
        <v>21</v>
      </c>
      <c r="J370" s="15" t="s">
        <v>1336</v>
      </c>
      <c r="K370" s="11" t="s">
        <v>21</v>
      </c>
      <c r="L370" s="5" t="s">
        <v>31</v>
      </c>
      <c r="M370" s="5"/>
      <c r="N370" s="277"/>
      <c r="O370" s="277"/>
      <c r="P370" s="202" t="s">
        <v>2593</v>
      </c>
      <c r="Q370" s="201">
        <v>366</v>
      </c>
    </row>
    <row r="371" spans="1:17" ht="333" customHeight="1">
      <c r="A371" s="23" t="s">
        <v>1250</v>
      </c>
      <c r="B371" s="3" t="s">
        <v>1251</v>
      </c>
      <c r="C371" s="3" t="s">
        <v>1321</v>
      </c>
      <c r="D371" s="32" t="s">
        <v>24</v>
      </c>
      <c r="E371" s="3">
        <v>2</v>
      </c>
      <c r="F371" s="1" t="s">
        <v>1337</v>
      </c>
      <c r="G371" s="25" t="s">
        <v>1338</v>
      </c>
      <c r="H371" s="11" t="s">
        <v>21</v>
      </c>
      <c r="I371" s="15" t="s">
        <v>21</v>
      </c>
      <c r="J371" s="15" t="s">
        <v>1339</v>
      </c>
      <c r="K371" s="11" t="s">
        <v>21</v>
      </c>
      <c r="L371" s="5" t="s">
        <v>31</v>
      </c>
      <c r="M371" s="5"/>
      <c r="N371" s="277"/>
      <c r="O371" s="277"/>
      <c r="P371" s="202" t="s">
        <v>2593</v>
      </c>
      <c r="Q371" s="201">
        <v>367</v>
      </c>
    </row>
    <row r="372" spans="1:17" ht="267.45" customHeight="1">
      <c r="A372" s="23" t="s">
        <v>1250</v>
      </c>
      <c r="B372" s="3" t="s">
        <v>1251</v>
      </c>
      <c r="C372" s="3" t="s">
        <v>1321</v>
      </c>
      <c r="D372" s="32" t="s">
        <v>24</v>
      </c>
      <c r="E372" s="3">
        <v>2</v>
      </c>
      <c r="F372" s="1" t="s">
        <v>1340</v>
      </c>
      <c r="G372" s="25" t="s">
        <v>1341</v>
      </c>
      <c r="H372" s="11" t="s">
        <v>21</v>
      </c>
      <c r="I372" s="15" t="s">
        <v>21</v>
      </c>
      <c r="J372" s="15" t="s">
        <v>1342</v>
      </c>
      <c r="K372" s="11" t="s">
        <v>21</v>
      </c>
      <c r="L372" s="5" t="s">
        <v>31</v>
      </c>
      <c r="M372" s="5"/>
      <c r="N372" s="277"/>
      <c r="O372" s="277"/>
      <c r="P372" s="202" t="s">
        <v>2593</v>
      </c>
      <c r="Q372" s="201">
        <v>368</v>
      </c>
    </row>
    <row r="373" spans="1:17" ht="211.5" customHeight="1">
      <c r="A373" s="23" t="s">
        <v>1250</v>
      </c>
      <c r="B373" s="3" t="s">
        <v>1251</v>
      </c>
      <c r="C373" s="3" t="s">
        <v>1321</v>
      </c>
      <c r="D373" s="32" t="s">
        <v>24</v>
      </c>
      <c r="E373" s="3">
        <v>2</v>
      </c>
      <c r="F373" s="1" t="s">
        <v>1343</v>
      </c>
      <c r="G373" s="4" t="s">
        <v>1344</v>
      </c>
      <c r="H373" s="11" t="s">
        <v>55</v>
      </c>
      <c r="I373" s="15" t="s">
        <v>1345</v>
      </c>
      <c r="J373" s="15" t="s">
        <v>1346</v>
      </c>
      <c r="K373" s="5" t="s">
        <v>31</v>
      </c>
      <c r="L373" s="5" t="s">
        <v>31</v>
      </c>
      <c r="M373" s="5"/>
      <c r="N373" s="277"/>
      <c r="O373" s="277"/>
      <c r="P373" s="202" t="s">
        <v>2593</v>
      </c>
      <c r="Q373" s="201">
        <v>369</v>
      </c>
    </row>
    <row r="374" spans="1:17" ht="220.8">
      <c r="A374" s="23" t="s">
        <v>1250</v>
      </c>
      <c r="B374" s="3" t="s">
        <v>1251</v>
      </c>
      <c r="C374" s="3" t="s">
        <v>1321</v>
      </c>
      <c r="D374" s="32" t="s">
        <v>24</v>
      </c>
      <c r="E374" s="3">
        <v>2</v>
      </c>
      <c r="F374" s="1" t="s">
        <v>1347</v>
      </c>
      <c r="G374" s="4" t="s">
        <v>1348</v>
      </c>
      <c r="H374" s="11" t="s">
        <v>55</v>
      </c>
      <c r="I374" s="15" t="s">
        <v>1349</v>
      </c>
      <c r="J374" s="15" t="s">
        <v>1350</v>
      </c>
      <c r="K374" s="5" t="s">
        <v>30</v>
      </c>
      <c r="L374" s="5" t="s">
        <v>2572</v>
      </c>
      <c r="M374" s="5"/>
      <c r="N374" s="277" t="s">
        <v>2582</v>
      </c>
      <c r="O374" s="277"/>
      <c r="P374" s="202" t="s">
        <v>2593</v>
      </c>
      <c r="Q374" s="201">
        <v>370</v>
      </c>
    </row>
    <row r="375" spans="1:17" ht="165.45" customHeight="1">
      <c r="A375" s="23" t="s">
        <v>1250</v>
      </c>
      <c r="B375" s="3" t="s">
        <v>1251</v>
      </c>
      <c r="C375" s="3" t="s">
        <v>1321</v>
      </c>
      <c r="D375" s="32" t="s">
        <v>24</v>
      </c>
      <c r="E375" s="3">
        <v>2</v>
      </c>
      <c r="F375" s="1" t="s">
        <v>1351</v>
      </c>
      <c r="G375" s="4" t="s">
        <v>1352</v>
      </c>
      <c r="H375" s="11" t="s">
        <v>21</v>
      </c>
      <c r="I375" s="15" t="s">
        <v>21</v>
      </c>
      <c r="J375" s="15" t="s">
        <v>1353</v>
      </c>
      <c r="K375" s="11" t="s">
        <v>21</v>
      </c>
      <c r="L375" s="5" t="s">
        <v>31</v>
      </c>
      <c r="M375" s="5"/>
      <c r="N375" s="277"/>
      <c r="O375" s="277"/>
      <c r="P375" s="202" t="s">
        <v>2593</v>
      </c>
      <c r="Q375" s="201">
        <v>371</v>
      </c>
    </row>
    <row r="376" spans="1:17" ht="184.5" hidden="1" customHeight="1">
      <c r="A376" s="283"/>
      <c r="B376" s="266"/>
      <c r="C376" s="266"/>
      <c r="D376" s="295"/>
      <c r="E376" s="266"/>
      <c r="F376" s="291"/>
      <c r="G376" s="268"/>
      <c r="H376" s="269"/>
      <c r="I376" s="278"/>
      <c r="J376" s="278"/>
      <c r="K376" s="269"/>
      <c r="L376" s="270"/>
      <c r="M376" s="5"/>
      <c r="N376" s="277"/>
      <c r="O376" s="277"/>
      <c r="P376" s="274"/>
      <c r="Q376" s="275"/>
    </row>
    <row r="377" spans="1:17" ht="145.5" hidden="1" customHeight="1">
      <c r="A377" s="283"/>
      <c r="B377" s="266"/>
      <c r="C377" s="266"/>
      <c r="D377" s="295"/>
      <c r="E377" s="266"/>
      <c r="F377" s="291"/>
      <c r="G377" s="268"/>
      <c r="H377" s="269"/>
      <c r="I377" s="278"/>
      <c r="J377" s="278"/>
      <c r="K377" s="270"/>
      <c r="L377" s="270"/>
      <c r="M377" s="5"/>
      <c r="N377" s="277"/>
      <c r="O377" s="277"/>
      <c r="P377" s="274"/>
      <c r="Q377" s="275"/>
    </row>
    <row r="378" spans="1:17" ht="105" hidden="1" customHeight="1">
      <c r="A378" s="283"/>
      <c r="B378" s="266"/>
      <c r="C378" s="266"/>
      <c r="D378" s="295"/>
      <c r="E378" s="266"/>
      <c r="F378" s="291"/>
      <c r="G378" s="268"/>
      <c r="H378" s="269"/>
      <c r="I378" s="278"/>
      <c r="J378" s="278"/>
      <c r="K378" s="269"/>
      <c r="L378" s="270"/>
      <c r="M378" s="5"/>
      <c r="N378" s="277"/>
      <c r="O378" s="277"/>
      <c r="P378" s="274"/>
      <c r="Q378" s="275"/>
    </row>
    <row r="379" spans="1:17" ht="120" hidden="1" customHeight="1">
      <c r="A379" s="283"/>
      <c r="B379" s="266"/>
      <c r="C379" s="266"/>
      <c r="D379" s="295"/>
      <c r="E379" s="266"/>
      <c r="F379" s="291"/>
      <c r="G379" s="268"/>
      <c r="H379" s="269"/>
      <c r="I379" s="278"/>
      <c r="J379" s="278"/>
      <c r="K379" s="269"/>
      <c r="L379" s="270"/>
      <c r="M379" s="5"/>
      <c r="N379" s="277"/>
      <c r="O379" s="277"/>
      <c r="P379" s="274"/>
      <c r="Q379" s="275"/>
    </row>
    <row r="380" spans="1:17" ht="136.5" hidden="1" customHeight="1">
      <c r="A380" s="283"/>
      <c r="B380" s="266"/>
      <c r="C380" s="266"/>
      <c r="D380" s="295"/>
      <c r="E380" s="266"/>
      <c r="F380" s="291"/>
      <c r="G380" s="268"/>
      <c r="H380" s="269"/>
      <c r="I380" s="278"/>
      <c r="J380" s="278"/>
      <c r="K380" s="269"/>
      <c r="L380" s="270"/>
      <c r="M380" s="5"/>
      <c r="N380" s="277"/>
      <c r="O380" s="277"/>
      <c r="P380" s="274"/>
      <c r="Q380" s="275"/>
    </row>
    <row r="381" spans="1:17" hidden="1">
      <c r="A381" s="283"/>
      <c r="B381" s="266"/>
      <c r="C381" s="266"/>
      <c r="D381" s="295"/>
      <c r="E381" s="266"/>
      <c r="F381" s="291"/>
      <c r="G381" s="268"/>
      <c r="H381" s="269"/>
      <c r="I381" s="278"/>
      <c r="J381" s="278"/>
      <c r="K381" s="269"/>
      <c r="L381" s="270"/>
      <c r="M381" s="5"/>
      <c r="N381" s="277"/>
      <c r="O381" s="277"/>
      <c r="P381" s="274"/>
      <c r="Q381" s="275"/>
    </row>
    <row r="382" spans="1:17" hidden="1">
      <c r="A382" s="283"/>
      <c r="B382" s="266"/>
      <c r="C382" s="266"/>
      <c r="D382" s="295"/>
      <c r="E382" s="266"/>
      <c r="F382" s="291"/>
      <c r="G382" s="268"/>
      <c r="H382" s="269"/>
      <c r="I382" s="278"/>
      <c r="J382" s="278"/>
      <c r="K382" s="269"/>
      <c r="L382" s="270"/>
      <c r="M382" s="5"/>
      <c r="N382" s="277"/>
      <c r="O382" s="277"/>
      <c r="P382" s="274"/>
      <c r="Q382" s="275"/>
    </row>
    <row r="383" spans="1:17" hidden="1">
      <c r="A383" s="283"/>
      <c r="B383" s="266"/>
      <c r="C383" s="266"/>
      <c r="D383" s="295"/>
      <c r="E383" s="266"/>
      <c r="F383" s="291"/>
      <c r="G383" s="268"/>
      <c r="H383" s="269"/>
      <c r="I383" s="278"/>
      <c r="J383" s="278"/>
      <c r="K383" s="270"/>
      <c r="L383" s="270"/>
      <c r="M383" s="5">
        <v>1</v>
      </c>
      <c r="N383" s="277"/>
      <c r="O383" s="277"/>
      <c r="P383" s="274"/>
      <c r="Q383" s="275"/>
    </row>
    <row r="384" spans="1:17" hidden="1">
      <c r="A384" s="283"/>
      <c r="B384" s="266"/>
      <c r="C384" s="266"/>
      <c r="D384" s="295"/>
      <c r="E384" s="266"/>
      <c r="F384" s="291"/>
      <c r="G384" s="268"/>
      <c r="H384" s="269"/>
      <c r="I384" s="278"/>
      <c r="J384" s="278"/>
      <c r="K384" s="269"/>
      <c r="L384" s="270"/>
      <c r="M384" s="5"/>
      <c r="N384" s="277"/>
      <c r="O384" s="277"/>
      <c r="P384" s="274"/>
      <c r="Q384" s="275"/>
    </row>
    <row r="385" spans="1:17" ht="94.05" hidden="1" customHeight="1">
      <c r="A385" s="283"/>
      <c r="B385" s="266"/>
      <c r="C385" s="266"/>
      <c r="D385" s="295"/>
      <c r="E385" s="266"/>
      <c r="F385" s="296"/>
      <c r="G385" s="272"/>
      <c r="H385" s="269"/>
      <c r="I385" s="278"/>
      <c r="J385" s="278"/>
      <c r="K385" s="269"/>
      <c r="L385" s="270"/>
      <c r="M385" s="5"/>
      <c r="N385" s="277"/>
      <c r="O385" s="277"/>
      <c r="P385" s="274"/>
      <c r="Q385" s="275"/>
    </row>
    <row r="386" spans="1:17" hidden="1">
      <c r="A386" s="283"/>
      <c r="B386" s="266"/>
      <c r="C386" s="266"/>
      <c r="D386" s="295"/>
      <c r="E386" s="266"/>
      <c r="F386" s="291"/>
      <c r="G386" s="268"/>
      <c r="H386" s="269"/>
      <c r="I386" s="278"/>
      <c r="J386" s="278"/>
      <c r="K386" s="269"/>
      <c r="L386" s="270"/>
      <c r="M386" s="5"/>
      <c r="N386" s="277"/>
      <c r="O386" s="277"/>
      <c r="P386" s="274"/>
      <c r="Q386" s="275"/>
    </row>
    <row r="387" spans="1:17" hidden="1">
      <c r="A387" s="283"/>
      <c r="B387" s="266"/>
      <c r="C387" s="266"/>
      <c r="D387" s="295"/>
      <c r="E387" s="266"/>
      <c r="F387" s="291"/>
      <c r="G387" s="268"/>
      <c r="H387" s="269"/>
      <c r="I387" s="278"/>
      <c r="J387" s="278"/>
      <c r="K387" s="269"/>
      <c r="L387" s="270"/>
      <c r="M387" s="5"/>
      <c r="N387" s="277"/>
      <c r="O387" s="277"/>
      <c r="P387" s="274"/>
      <c r="Q387" s="275"/>
    </row>
    <row r="388" spans="1:17" hidden="1">
      <c r="A388" s="283"/>
      <c r="B388" s="266"/>
      <c r="C388" s="266"/>
      <c r="D388" s="295"/>
      <c r="E388" s="266"/>
      <c r="F388" s="268"/>
      <c r="G388" s="268"/>
      <c r="H388" s="269"/>
      <c r="I388" s="278"/>
      <c r="J388" s="278"/>
      <c r="K388" s="269"/>
      <c r="L388" s="270"/>
      <c r="M388" s="5"/>
      <c r="N388" s="277"/>
      <c r="O388" s="277"/>
      <c r="P388" s="274"/>
      <c r="Q388" s="275"/>
    </row>
    <row r="389" spans="1:17" hidden="1">
      <c r="A389" s="283"/>
      <c r="B389" s="266"/>
      <c r="C389" s="266"/>
      <c r="D389" s="295"/>
      <c r="E389" s="266"/>
      <c r="F389" s="291"/>
      <c r="G389" s="268"/>
      <c r="H389" s="269"/>
      <c r="I389" s="278"/>
      <c r="J389" s="278"/>
      <c r="K389" s="269"/>
      <c r="L389" s="270"/>
      <c r="M389" s="5"/>
      <c r="N389" s="277"/>
      <c r="O389" s="277"/>
      <c r="P389" s="274"/>
      <c r="Q389" s="275"/>
    </row>
    <row r="390" spans="1:17" ht="76.95" customHeight="1">
      <c r="A390" s="23" t="s">
        <v>1250</v>
      </c>
      <c r="B390" s="3" t="s">
        <v>1251</v>
      </c>
      <c r="C390" s="3" t="s">
        <v>1397</v>
      </c>
      <c r="D390" s="27" t="s">
        <v>18</v>
      </c>
      <c r="E390" s="3">
        <v>1</v>
      </c>
      <c r="F390" s="1" t="s">
        <v>1398</v>
      </c>
      <c r="G390" s="4" t="s">
        <v>1399</v>
      </c>
      <c r="H390" s="11" t="s">
        <v>21</v>
      </c>
      <c r="I390" s="15" t="s">
        <v>21</v>
      </c>
      <c r="J390" s="15" t="s">
        <v>1400</v>
      </c>
      <c r="K390" s="11" t="s">
        <v>21</v>
      </c>
      <c r="L390" s="5" t="s">
        <v>23</v>
      </c>
      <c r="M390" s="5"/>
      <c r="N390" s="277"/>
      <c r="O390" s="277" t="s">
        <v>2567</v>
      </c>
      <c r="P390" s="202" t="s">
        <v>2593</v>
      </c>
      <c r="Q390" s="201">
        <v>386</v>
      </c>
    </row>
    <row r="391" spans="1:17" ht="84" customHeight="1">
      <c r="A391" s="23" t="s">
        <v>1250</v>
      </c>
      <c r="B391" s="3" t="s">
        <v>1251</v>
      </c>
      <c r="C391" s="3" t="s">
        <v>1397</v>
      </c>
      <c r="D391" s="27" t="s">
        <v>18</v>
      </c>
      <c r="E391" s="3">
        <v>1</v>
      </c>
      <c r="F391" s="1" t="s">
        <v>1401</v>
      </c>
      <c r="G391" s="4" t="s">
        <v>1402</v>
      </c>
      <c r="H391" s="11" t="s">
        <v>21</v>
      </c>
      <c r="I391" s="15" t="s">
        <v>21</v>
      </c>
      <c r="J391" s="15" t="s">
        <v>1403</v>
      </c>
      <c r="K391" s="11" t="s">
        <v>21</v>
      </c>
      <c r="L391" s="5" t="s">
        <v>23</v>
      </c>
      <c r="M391" s="5"/>
      <c r="N391" s="277" t="s">
        <v>2607</v>
      </c>
      <c r="O391" s="277" t="s">
        <v>2566</v>
      </c>
      <c r="P391" s="202" t="s">
        <v>2593</v>
      </c>
      <c r="Q391" s="201">
        <v>387</v>
      </c>
    </row>
    <row r="392" spans="1:17" ht="168.45" customHeight="1">
      <c r="A392" s="23" t="s">
        <v>1250</v>
      </c>
      <c r="B392" s="3" t="s">
        <v>1251</v>
      </c>
      <c r="C392" s="3" t="s">
        <v>1397</v>
      </c>
      <c r="D392" s="32" t="s">
        <v>24</v>
      </c>
      <c r="E392" s="3">
        <v>2</v>
      </c>
      <c r="F392" s="1" t="s">
        <v>1404</v>
      </c>
      <c r="G392" s="4" t="s">
        <v>1405</v>
      </c>
      <c r="H392" s="11" t="s">
        <v>21</v>
      </c>
      <c r="I392" s="15" t="s">
        <v>21</v>
      </c>
      <c r="J392" s="15" t="s">
        <v>1406</v>
      </c>
      <c r="K392" s="11" t="s">
        <v>21</v>
      </c>
      <c r="L392" s="5" t="s">
        <v>31</v>
      </c>
      <c r="M392" s="5"/>
      <c r="N392" s="277"/>
      <c r="O392" s="277"/>
      <c r="P392" s="202" t="s">
        <v>2593</v>
      </c>
      <c r="Q392" s="201">
        <v>388</v>
      </c>
    </row>
    <row r="393" spans="1:17" hidden="1">
      <c r="A393" s="283"/>
      <c r="B393" s="266"/>
      <c r="C393" s="266"/>
      <c r="D393" s="295"/>
      <c r="E393" s="266"/>
      <c r="F393" s="285"/>
      <c r="G393" s="268"/>
      <c r="H393" s="269"/>
      <c r="I393" s="278"/>
      <c r="J393" s="278"/>
      <c r="K393" s="269"/>
      <c r="L393" s="270"/>
      <c r="M393" s="5"/>
      <c r="N393" s="277"/>
      <c r="O393" s="277"/>
      <c r="P393" s="274"/>
      <c r="Q393" s="275"/>
    </row>
    <row r="394" spans="1:17" hidden="1">
      <c r="A394" s="283"/>
      <c r="B394" s="266"/>
      <c r="C394" s="266"/>
      <c r="D394" s="295"/>
      <c r="E394" s="266"/>
      <c r="F394" s="291"/>
      <c r="G394" s="268"/>
      <c r="H394" s="269"/>
      <c r="I394" s="278"/>
      <c r="J394" s="278"/>
      <c r="K394" s="269"/>
      <c r="L394" s="270"/>
      <c r="M394" s="5"/>
      <c r="N394" s="277"/>
      <c r="O394" s="277"/>
      <c r="P394" s="274"/>
      <c r="Q394" s="275"/>
    </row>
    <row r="395" spans="1:17" hidden="1">
      <c r="A395" s="283"/>
      <c r="B395" s="266"/>
      <c r="C395" s="266"/>
      <c r="D395" s="295"/>
      <c r="E395" s="266"/>
      <c r="F395" s="291"/>
      <c r="G395" s="268"/>
      <c r="H395" s="269"/>
      <c r="I395" s="278"/>
      <c r="J395" s="278"/>
      <c r="K395" s="269"/>
      <c r="L395" s="270"/>
      <c r="M395" s="5"/>
      <c r="N395" s="277"/>
      <c r="O395" s="277"/>
      <c r="P395" s="274"/>
      <c r="Q395" s="275"/>
    </row>
    <row r="396" spans="1:17" hidden="1">
      <c r="A396" s="283"/>
      <c r="B396" s="266"/>
      <c r="C396" s="266"/>
      <c r="D396" s="295"/>
      <c r="E396" s="266"/>
      <c r="F396" s="291"/>
      <c r="G396" s="268"/>
      <c r="H396" s="269"/>
      <c r="I396" s="278"/>
      <c r="J396" s="278"/>
      <c r="K396" s="269"/>
      <c r="L396" s="270"/>
      <c r="M396" s="5"/>
      <c r="N396" s="277"/>
      <c r="O396" s="277"/>
      <c r="P396" s="274"/>
      <c r="Q396" s="275"/>
    </row>
    <row r="397" spans="1:17" hidden="1">
      <c r="A397" s="283"/>
      <c r="B397" s="266"/>
      <c r="C397" s="266"/>
      <c r="D397" s="295"/>
      <c r="E397" s="266"/>
      <c r="F397" s="291"/>
      <c r="G397" s="268"/>
      <c r="H397" s="269"/>
      <c r="I397" s="278"/>
      <c r="J397" s="278"/>
      <c r="K397" s="269"/>
      <c r="L397" s="270"/>
      <c r="M397" s="5"/>
      <c r="N397" s="277"/>
      <c r="O397" s="277"/>
      <c r="P397" s="274"/>
      <c r="Q397" s="275"/>
    </row>
    <row r="398" spans="1:17" hidden="1">
      <c r="A398" s="283"/>
      <c r="B398" s="266"/>
      <c r="C398" s="266"/>
      <c r="D398" s="295"/>
      <c r="E398" s="266"/>
      <c r="F398" s="291"/>
      <c r="G398" s="268"/>
      <c r="H398" s="269"/>
      <c r="I398" s="278"/>
      <c r="J398" s="278"/>
      <c r="K398" s="269"/>
      <c r="L398" s="270"/>
      <c r="M398" s="5"/>
      <c r="N398" s="277"/>
      <c r="O398" s="277"/>
      <c r="P398" s="274"/>
      <c r="Q398" s="275"/>
    </row>
    <row r="399" spans="1:17" hidden="1">
      <c r="A399" s="283"/>
      <c r="B399" s="266"/>
      <c r="C399" s="266"/>
      <c r="D399" s="295"/>
      <c r="E399" s="266"/>
      <c r="F399" s="291"/>
      <c r="G399" s="268"/>
      <c r="H399" s="269"/>
      <c r="I399" s="278"/>
      <c r="J399" s="278"/>
      <c r="K399" s="269"/>
      <c r="L399" s="270"/>
      <c r="M399" s="5"/>
      <c r="N399" s="277"/>
      <c r="O399" s="277"/>
      <c r="P399" s="274"/>
      <c r="Q399" s="275"/>
    </row>
    <row r="400" spans="1:17" hidden="1">
      <c r="A400" s="283"/>
      <c r="B400" s="266"/>
      <c r="C400" s="266"/>
      <c r="D400" s="295"/>
      <c r="E400" s="266"/>
      <c r="F400" s="291"/>
      <c r="G400" s="268"/>
      <c r="H400" s="269"/>
      <c r="I400" s="278"/>
      <c r="J400" s="278"/>
      <c r="K400" s="269"/>
      <c r="L400" s="270"/>
      <c r="M400" s="5"/>
      <c r="N400" s="277"/>
      <c r="O400" s="277"/>
      <c r="P400" s="274"/>
      <c r="Q400" s="275"/>
    </row>
    <row r="401" spans="1:17" ht="82.8">
      <c r="A401" s="23" t="s">
        <v>1431</v>
      </c>
      <c r="B401" s="3" t="s">
        <v>1432</v>
      </c>
      <c r="C401" s="3" t="s">
        <v>1433</v>
      </c>
      <c r="D401" s="6" t="s">
        <v>18</v>
      </c>
      <c r="E401" s="3">
        <v>1</v>
      </c>
      <c r="F401" s="14" t="s">
        <v>1434</v>
      </c>
      <c r="G401" s="14" t="s">
        <v>1435</v>
      </c>
      <c r="H401" s="11" t="s">
        <v>21</v>
      </c>
      <c r="I401" s="15" t="s">
        <v>21</v>
      </c>
      <c r="J401" s="15" t="s">
        <v>1436</v>
      </c>
      <c r="K401" s="11" t="s">
        <v>21</v>
      </c>
      <c r="L401" s="5" t="s">
        <v>31</v>
      </c>
      <c r="M401" s="5"/>
      <c r="N401" s="277" t="s">
        <v>2614</v>
      </c>
      <c r="O401" s="277" t="s">
        <v>2509</v>
      </c>
      <c r="P401" s="202" t="s">
        <v>2593</v>
      </c>
      <c r="Q401" s="201">
        <v>397</v>
      </c>
    </row>
    <row r="402" spans="1:17" ht="96.6">
      <c r="A402" s="23" t="s">
        <v>1431</v>
      </c>
      <c r="B402" s="3" t="s">
        <v>1432</v>
      </c>
      <c r="C402" s="3" t="s">
        <v>1433</v>
      </c>
      <c r="D402" s="7" t="s">
        <v>24</v>
      </c>
      <c r="E402" s="3">
        <v>2</v>
      </c>
      <c r="F402" s="4" t="s">
        <v>1437</v>
      </c>
      <c r="G402" s="4" t="s">
        <v>1438</v>
      </c>
      <c r="H402" s="11" t="s">
        <v>27</v>
      </c>
      <c r="I402" s="15" t="s">
        <v>1439</v>
      </c>
      <c r="J402" s="15" t="s">
        <v>1440</v>
      </c>
      <c r="K402" s="5" t="s">
        <v>23</v>
      </c>
      <c r="L402" s="5" t="s">
        <v>23</v>
      </c>
      <c r="M402" s="5"/>
      <c r="N402" s="277"/>
      <c r="O402" s="277" t="s">
        <v>2488</v>
      </c>
      <c r="P402" s="202" t="s">
        <v>2593</v>
      </c>
      <c r="Q402" s="201">
        <v>398</v>
      </c>
    </row>
    <row r="403" spans="1:17" ht="124.2">
      <c r="A403" s="23" t="s">
        <v>1431</v>
      </c>
      <c r="B403" s="3" t="s">
        <v>1432</v>
      </c>
      <c r="C403" s="3" t="s">
        <v>1433</v>
      </c>
      <c r="D403" s="7" t="s">
        <v>24</v>
      </c>
      <c r="E403" s="3">
        <v>2</v>
      </c>
      <c r="F403" s="4" t="s">
        <v>1441</v>
      </c>
      <c r="G403" s="4" t="s">
        <v>1442</v>
      </c>
      <c r="H403" s="11" t="s">
        <v>27</v>
      </c>
      <c r="I403" s="15" t="s">
        <v>1443</v>
      </c>
      <c r="J403" s="15" t="s">
        <v>1444</v>
      </c>
      <c r="K403" s="5" t="s">
        <v>30</v>
      </c>
      <c r="L403" s="5" t="s">
        <v>2572</v>
      </c>
      <c r="M403" s="5"/>
      <c r="N403" s="303" t="s">
        <v>2616</v>
      </c>
      <c r="O403" s="277" t="s">
        <v>2553</v>
      </c>
      <c r="P403" s="202" t="s">
        <v>2593</v>
      </c>
      <c r="Q403" s="201">
        <v>399</v>
      </c>
    </row>
    <row r="404" spans="1:17" ht="124.2">
      <c r="A404" s="23" t="s">
        <v>1431</v>
      </c>
      <c r="B404" s="3" t="s">
        <v>1432</v>
      </c>
      <c r="C404" s="3" t="s">
        <v>1433</v>
      </c>
      <c r="D404" s="7" t="s">
        <v>24</v>
      </c>
      <c r="E404" s="3">
        <v>2</v>
      </c>
      <c r="F404" s="4" t="s">
        <v>1445</v>
      </c>
      <c r="G404" s="4" t="s">
        <v>1446</v>
      </c>
      <c r="H404" s="11" t="s">
        <v>55</v>
      </c>
      <c r="I404" s="15" t="s">
        <v>1447</v>
      </c>
      <c r="J404" s="15" t="s">
        <v>1448</v>
      </c>
      <c r="K404" s="5" t="s">
        <v>30</v>
      </c>
      <c r="L404" s="5" t="s">
        <v>2572</v>
      </c>
      <c r="M404" s="5"/>
      <c r="N404" s="303" t="s">
        <v>2618</v>
      </c>
      <c r="O404" s="277" t="s">
        <v>2617</v>
      </c>
      <c r="P404" s="202" t="s">
        <v>2593</v>
      </c>
      <c r="Q404" s="201">
        <v>400</v>
      </c>
    </row>
    <row r="405" spans="1:17" ht="97.5" customHeight="1">
      <c r="A405" s="23" t="s">
        <v>1431</v>
      </c>
      <c r="B405" s="3" t="s">
        <v>1432</v>
      </c>
      <c r="C405" s="3" t="s">
        <v>1433</v>
      </c>
      <c r="D405" s="7" t="s">
        <v>24</v>
      </c>
      <c r="E405" s="3">
        <v>2</v>
      </c>
      <c r="F405" s="4" t="s">
        <v>1449</v>
      </c>
      <c r="G405" s="1" t="s">
        <v>1450</v>
      </c>
      <c r="H405" s="11" t="s">
        <v>55</v>
      </c>
      <c r="I405" s="15" t="s">
        <v>1451</v>
      </c>
      <c r="J405" s="15" t="s">
        <v>1452</v>
      </c>
      <c r="K405" s="5" t="s">
        <v>31</v>
      </c>
      <c r="L405" s="5" t="s">
        <v>31</v>
      </c>
      <c r="M405" s="5"/>
      <c r="N405" s="277"/>
      <c r="O405" s="277"/>
      <c r="P405" s="202" t="s">
        <v>2593</v>
      </c>
      <c r="Q405" s="201">
        <v>401</v>
      </c>
    </row>
    <row r="406" spans="1:17" ht="85.95" customHeight="1">
      <c r="A406" s="23" t="s">
        <v>1431</v>
      </c>
      <c r="B406" s="3" t="s">
        <v>1432</v>
      </c>
      <c r="C406" s="3" t="s">
        <v>1433</v>
      </c>
      <c r="D406" s="7" t="s">
        <v>24</v>
      </c>
      <c r="E406" s="3">
        <v>2</v>
      </c>
      <c r="F406" s="4" t="s">
        <v>1453</v>
      </c>
      <c r="G406" s="2" t="s">
        <v>1454</v>
      </c>
      <c r="H406" s="11" t="s">
        <v>21</v>
      </c>
      <c r="I406" s="15" t="s">
        <v>21</v>
      </c>
      <c r="J406" s="15" t="s">
        <v>1455</v>
      </c>
      <c r="K406" s="11" t="s">
        <v>21</v>
      </c>
      <c r="L406" s="5" t="s">
        <v>31</v>
      </c>
      <c r="M406" s="5"/>
      <c r="N406" s="277"/>
      <c r="O406" s="277"/>
      <c r="P406" s="202" t="s">
        <v>2593</v>
      </c>
      <c r="Q406" s="201">
        <v>402</v>
      </c>
    </row>
    <row r="407" spans="1:17" ht="303.60000000000002">
      <c r="A407" s="23" t="s">
        <v>1431</v>
      </c>
      <c r="B407" s="3" t="s">
        <v>1432</v>
      </c>
      <c r="C407" s="3" t="s">
        <v>1433</v>
      </c>
      <c r="D407" s="7" t="s">
        <v>24</v>
      </c>
      <c r="E407" s="3">
        <v>2</v>
      </c>
      <c r="F407" s="4" t="s">
        <v>1456</v>
      </c>
      <c r="G407" s="4" t="s">
        <v>1457</v>
      </c>
      <c r="H407" s="11" t="s">
        <v>27</v>
      </c>
      <c r="I407" s="15" t="s">
        <v>1458</v>
      </c>
      <c r="J407" s="15" t="s">
        <v>1459</v>
      </c>
      <c r="K407" s="5" t="s">
        <v>30</v>
      </c>
      <c r="L407" s="5" t="s">
        <v>2572</v>
      </c>
      <c r="M407" s="5"/>
      <c r="N407" s="277" t="s">
        <v>2581</v>
      </c>
      <c r="O407" s="277"/>
      <c r="P407" s="202" t="s">
        <v>2593</v>
      </c>
      <c r="Q407" s="201">
        <v>403</v>
      </c>
    </row>
    <row r="408" spans="1:17" ht="111.45" hidden="1" customHeight="1">
      <c r="A408" s="283"/>
      <c r="B408" s="266"/>
      <c r="C408" s="266"/>
      <c r="D408" s="267"/>
      <c r="E408" s="266"/>
      <c r="F408" s="285"/>
      <c r="G408" s="285"/>
      <c r="H408" s="269"/>
      <c r="I408" s="278"/>
      <c r="J408" s="278"/>
      <c r="K408" s="269"/>
      <c r="L408" s="270"/>
      <c r="M408" s="5"/>
      <c r="N408" s="277"/>
      <c r="O408" s="277"/>
      <c r="P408" s="274"/>
      <c r="Q408" s="275"/>
    </row>
    <row r="409" spans="1:17" ht="73.05" hidden="1" customHeight="1">
      <c r="A409" s="283"/>
      <c r="B409" s="266"/>
      <c r="C409" s="266"/>
      <c r="D409" s="267"/>
      <c r="E409" s="266"/>
      <c r="F409" s="285"/>
      <c r="G409" s="285"/>
      <c r="H409" s="269"/>
      <c r="I409" s="278"/>
      <c r="J409" s="278"/>
      <c r="K409" s="269"/>
      <c r="L409" s="270"/>
      <c r="M409" s="5"/>
      <c r="N409" s="277"/>
      <c r="O409" s="277"/>
      <c r="P409" s="274"/>
      <c r="Q409" s="275"/>
    </row>
    <row r="410" spans="1:17" hidden="1">
      <c r="A410" s="283"/>
      <c r="B410" s="266"/>
      <c r="C410" s="266"/>
      <c r="D410" s="289"/>
      <c r="E410" s="266"/>
      <c r="F410" s="268"/>
      <c r="G410" s="268"/>
      <c r="H410" s="269"/>
      <c r="I410" s="278"/>
      <c r="J410" s="278"/>
      <c r="K410" s="270"/>
      <c r="L410" s="270"/>
      <c r="M410" s="5"/>
      <c r="N410" s="277"/>
      <c r="O410" s="277"/>
      <c r="P410" s="274"/>
      <c r="Q410" s="275"/>
    </row>
    <row r="411" spans="1:17" ht="156.44999999999999" hidden="1" customHeight="1">
      <c r="A411" s="283"/>
      <c r="B411" s="266"/>
      <c r="C411" s="266"/>
      <c r="D411" s="267"/>
      <c r="E411" s="266"/>
      <c r="F411" s="268"/>
      <c r="G411" s="268"/>
      <c r="H411" s="269"/>
      <c r="I411" s="278"/>
      <c r="J411" s="278"/>
      <c r="K411" s="269"/>
      <c r="L411" s="270"/>
      <c r="M411" s="5"/>
      <c r="N411" s="277"/>
      <c r="O411" s="277"/>
      <c r="P411" s="274"/>
      <c r="Q411" s="275"/>
    </row>
    <row r="412" spans="1:17" ht="124.95" hidden="1" customHeight="1">
      <c r="A412" s="283"/>
      <c r="B412" s="266"/>
      <c r="C412" s="266"/>
      <c r="D412" s="267"/>
      <c r="E412" s="266"/>
      <c r="F412" s="268"/>
      <c r="G412" s="268"/>
      <c r="H412" s="269"/>
      <c r="I412" s="278"/>
      <c r="J412" s="278"/>
      <c r="K412" s="270"/>
      <c r="L412" s="270"/>
      <c r="M412" s="5"/>
      <c r="N412" s="277"/>
      <c r="O412" s="277"/>
      <c r="P412" s="274"/>
      <c r="Q412" s="275"/>
    </row>
    <row r="413" spans="1:17" hidden="1">
      <c r="A413" s="283"/>
      <c r="B413" s="266"/>
      <c r="C413" s="266"/>
      <c r="D413" s="267"/>
      <c r="E413" s="266"/>
      <c r="F413" s="268"/>
      <c r="G413" s="268"/>
      <c r="H413" s="269"/>
      <c r="I413" s="278"/>
      <c r="J413" s="278"/>
      <c r="K413" s="269"/>
      <c r="L413" s="270"/>
      <c r="M413" s="5"/>
      <c r="N413" s="277"/>
      <c r="O413" s="277"/>
      <c r="P413" s="274"/>
      <c r="Q413" s="275"/>
    </row>
    <row r="414" spans="1:17" ht="154.5" hidden="1" customHeight="1">
      <c r="A414" s="283"/>
      <c r="B414" s="266"/>
      <c r="C414" s="266"/>
      <c r="D414" s="267"/>
      <c r="E414" s="266"/>
      <c r="F414" s="268"/>
      <c r="G414" s="268"/>
      <c r="H414" s="269"/>
      <c r="I414" s="278"/>
      <c r="J414" s="278"/>
      <c r="K414" s="270"/>
      <c r="L414" s="270"/>
      <c r="M414" s="5"/>
      <c r="N414" s="277"/>
      <c r="O414" s="277"/>
      <c r="P414" s="274"/>
      <c r="Q414" s="275"/>
    </row>
    <row r="415" spans="1:17" ht="123.45" customHeight="1">
      <c r="A415" s="23" t="s">
        <v>1431</v>
      </c>
      <c r="B415" s="3" t="s">
        <v>1432</v>
      </c>
      <c r="C415" s="3" t="s">
        <v>1483</v>
      </c>
      <c r="D415" s="6" t="s">
        <v>18</v>
      </c>
      <c r="E415" s="3">
        <v>1</v>
      </c>
      <c r="F415" s="4" t="s">
        <v>1484</v>
      </c>
      <c r="G415" s="4" t="s">
        <v>1485</v>
      </c>
      <c r="H415" s="11" t="s">
        <v>21</v>
      </c>
      <c r="I415" s="15" t="s">
        <v>21</v>
      </c>
      <c r="J415" s="15" t="s">
        <v>1486</v>
      </c>
      <c r="K415" s="11" t="s">
        <v>21</v>
      </c>
      <c r="L415" s="5" t="s">
        <v>31</v>
      </c>
      <c r="M415" s="5"/>
      <c r="N415" s="277"/>
      <c r="O415" s="277"/>
      <c r="P415" s="202" t="s">
        <v>2593</v>
      </c>
      <c r="Q415" s="201">
        <v>411</v>
      </c>
    </row>
    <row r="416" spans="1:17" ht="96" customHeight="1">
      <c r="A416" s="23" t="s">
        <v>1431</v>
      </c>
      <c r="B416" s="3" t="s">
        <v>1432</v>
      </c>
      <c r="C416" s="3" t="s">
        <v>1483</v>
      </c>
      <c r="D416" s="7" t="s">
        <v>24</v>
      </c>
      <c r="E416" s="3">
        <v>2</v>
      </c>
      <c r="F416" s="4" t="s">
        <v>1487</v>
      </c>
      <c r="G416" s="2" t="s">
        <v>1488</v>
      </c>
      <c r="H416" s="11" t="s">
        <v>21</v>
      </c>
      <c r="I416" s="15" t="s">
        <v>21</v>
      </c>
      <c r="J416" s="15" t="s">
        <v>1489</v>
      </c>
      <c r="K416" s="11" t="s">
        <v>21</v>
      </c>
      <c r="L416" s="5" t="s">
        <v>31</v>
      </c>
      <c r="M416" s="5"/>
      <c r="N416" s="277"/>
      <c r="O416" s="277"/>
      <c r="P416" s="202" t="s">
        <v>2593</v>
      </c>
      <c r="Q416" s="201">
        <v>412</v>
      </c>
    </row>
    <row r="417" spans="1:18" ht="190.95" customHeight="1">
      <c r="A417" s="23" t="s">
        <v>1431</v>
      </c>
      <c r="B417" s="3" t="s">
        <v>1432</v>
      </c>
      <c r="C417" s="3" t="s">
        <v>1483</v>
      </c>
      <c r="D417" s="7" t="s">
        <v>24</v>
      </c>
      <c r="E417" s="3">
        <v>2</v>
      </c>
      <c r="F417" s="4" t="s">
        <v>1490</v>
      </c>
      <c r="G417" s="4" t="s">
        <v>1491</v>
      </c>
      <c r="H417" s="11" t="s">
        <v>55</v>
      </c>
      <c r="I417" s="15" t="s">
        <v>1492</v>
      </c>
      <c r="J417" s="15" t="s">
        <v>1493</v>
      </c>
      <c r="K417" s="5" t="s">
        <v>31</v>
      </c>
      <c r="L417" s="5" t="s">
        <v>31</v>
      </c>
      <c r="M417" s="5"/>
      <c r="N417" s="277"/>
      <c r="O417" s="277"/>
      <c r="P417" s="202" t="s">
        <v>2593</v>
      </c>
      <c r="Q417" s="201">
        <v>413</v>
      </c>
    </row>
    <row r="418" spans="1:18" ht="133.05000000000001" customHeight="1">
      <c r="A418" s="23" t="s">
        <v>1431</v>
      </c>
      <c r="B418" s="3" t="s">
        <v>1432</v>
      </c>
      <c r="C418" s="3" t="s">
        <v>1483</v>
      </c>
      <c r="D418" s="7" t="s">
        <v>24</v>
      </c>
      <c r="E418" s="3">
        <v>2</v>
      </c>
      <c r="F418" s="4" t="s">
        <v>1494</v>
      </c>
      <c r="G418" s="4" t="s">
        <v>1495</v>
      </c>
      <c r="H418" s="11" t="s">
        <v>55</v>
      </c>
      <c r="I418" s="15" t="s">
        <v>1496</v>
      </c>
      <c r="J418" s="15" t="s">
        <v>1497</v>
      </c>
      <c r="K418" s="5" t="s">
        <v>31</v>
      </c>
      <c r="L418" s="5" t="s">
        <v>31</v>
      </c>
      <c r="M418" s="5"/>
      <c r="N418" s="277"/>
      <c r="O418" s="277"/>
      <c r="P418" s="202" t="s">
        <v>2593</v>
      </c>
      <c r="Q418" s="201">
        <v>414</v>
      </c>
    </row>
    <row r="419" spans="1:18" ht="55.2">
      <c r="A419" s="23" t="s">
        <v>1431</v>
      </c>
      <c r="B419" s="3" t="s">
        <v>1432</v>
      </c>
      <c r="C419" s="3" t="s">
        <v>1483</v>
      </c>
      <c r="D419" s="7" t="s">
        <v>24</v>
      </c>
      <c r="E419" s="3">
        <v>2</v>
      </c>
      <c r="F419" s="2" t="s">
        <v>1498</v>
      </c>
      <c r="G419" s="2" t="s">
        <v>1499</v>
      </c>
      <c r="H419" s="11" t="s">
        <v>55</v>
      </c>
      <c r="I419" s="15" t="s">
        <v>1500</v>
      </c>
      <c r="J419" s="15" t="s">
        <v>1501</v>
      </c>
      <c r="K419" s="5" t="s">
        <v>31</v>
      </c>
      <c r="L419" s="5" t="s">
        <v>31</v>
      </c>
      <c r="M419" s="5"/>
      <c r="N419" s="277"/>
      <c r="O419" s="277"/>
      <c r="P419" s="202" t="s">
        <v>2593</v>
      </c>
      <c r="Q419" s="201">
        <v>415</v>
      </c>
    </row>
    <row r="420" spans="1:18" ht="96" customHeight="1">
      <c r="A420" s="23" t="s">
        <v>1431</v>
      </c>
      <c r="B420" s="3" t="s">
        <v>1432</v>
      </c>
      <c r="C420" s="3" t="s">
        <v>1483</v>
      </c>
      <c r="D420" s="7" t="s">
        <v>24</v>
      </c>
      <c r="E420" s="3">
        <v>2</v>
      </c>
      <c r="F420" s="4" t="s">
        <v>1502</v>
      </c>
      <c r="G420" s="4" t="s">
        <v>1503</v>
      </c>
      <c r="H420" s="11" t="s">
        <v>55</v>
      </c>
      <c r="I420" s="15" t="s">
        <v>1504</v>
      </c>
      <c r="J420" s="15" t="s">
        <v>1505</v>
      </c>
      <c r="K420" s="5" t="s">
        <v>31</v>
      </c>
      <c r="L420" s="5" t="s">
        <v>31</v>
      </c>
      <c r="M420" s="5"/>
      <c r="N420" s="277"/>
      <c r="O420" s="277"/>
      <c r="P420" s="202" t="s">
        <v>2593</v>
      </c>
      <c r="Q420" s="201">
        <v>416</v>
      </c>
    </row>
    <row r="421" spans="1:18" ht="102" customHeight="1">
      <c r="A421" s="23" t="s">
        <v>1431</v>
      </c>
      <c r="B421" s="3" t="s">
        <v>1432</v>
      </c>
      <c r="C421" s="3" t="s">
        <v>1483</v>
      </c>
      <c r="D421" s="7" t="s">
        <v>24</v>
      </c>
      <c r="E421" s="3">
        <v>2</v>
      </c>
      <c r="F421" s="4" t="s">
        <v>1506</v>
      </c>
      <c r="G421" s="2" t="s">
        <v>1507</v>
      </c>
      <c r="H421" s="11" t="s">
        <v>21</v>
      </c>
      <c r="I421" s="15" t="s">
        <v>21</v>
      </c>
      <c r="J421" s="15" t="s">
        <v>1508</v>
      </c>
      <c r="K421" s="11" t="s">
        <v>21</v>
      </c>
      <c r="L421" s="5" t="s">
        <v>31</v>
      </c>
      <c r="M421" s="5"/>
      <c r="N421" s="277"/>
      <c r="O421" s="277"/>
      <c r="P421" s="202" t="s">
        <v>2593</v>
      </c>
      <c r="Q421" s="201">
        <v>417</v>
      </c>
    </row>
    <row r="422" spans="1:18" ht="79.95" hidden="1" customHeight="1">
      <c r="A422" s="283"/>
      <c r="B422" s="266"/>
      <c r="C422" s="266"/>
      <c r="D422" s="267"/>
      <c r="E422" s="266"/>
      <c r="F422" s="285"/>
      <c r="G422" s="285"/>
      <c r="H422" s="269"/>
      <c r="I422" s="278"/>
      <c r="J422" s="278"/>
      <c r="K422" s="269"/>
      <c r="L422" s="270"/>
      <c r="M422" s="5"/>
      <c r="N422" s="277"/>
      <c r="O422" s="277"/>
      <c r="P422" s="274"/>
      <c r="Q422" s="275"/>
    </row>
    <row r="423" spans="1:18" ht="146.55000000000001" hidden="1" customHeight="1">
      <c r="A423" s="283"/>
      <c r="B423" s="266"/>
      <c r="C423" s="266"/>
      <c r="D423" s="267"/>
      <c r="E423" s="266"/>
      <c r="F423" s="268"/>
      <c r="G423" s="268"/>
      <c r="H423" s="269"/>
      <c r="I423" s="278"/>
      <c r="J423" s="278"/>
      <c r="K423" s="270"/>
      <c r="L423" s="270"/>
      <c r="M423" s="5"/>
      <c r="N423" s="277"/>
      <c r="O423" s="277"/>
      <c r="P423" s="274"/>
      <c r="Q423" s="275"/>
    </row>
    <row r="424" spans="1:18" ht="91.05" hidden="1" customHeight="1">
      <c r="A424" s="283"/>
      <c r="B424" s="266"/>
      <c r="C424" s="266"/>
      <c r="D424" s="267"/>
      <c r="E424" s="266"/>
      <c r="F424" s="268"/>
      <c r="G424" s="285"/>
      <c r="H424" s="269"/>
      <c r="I424" s="278"/>
      <c r="J424" s="278"/>
      <c r="K424" s="269"/>
      <c r="L424" s="270"/>
      <c r="M424" s="5"/>
      <c r="N424" s="277"/>
      <c r="O424" s="277"/>
      <c r="P424" s="274"/>
      <c r="Q424" s="275"/>
    </row>
    <row r="425" spans="1:18" ht="90" hidden="1" customHeight="1">
      <c r="A425" s="283"/>
      <c r="B425" s="266"/>
      <c r="C425" s="266"/>
      <c r="D425" s="267"/>
      <c r="E425" s="266"/>
      <c r="F425" s="285"/>
      <c r="G425" s="285"/>
      <c r="H425" s="269"/>
      <c r="I425" s="278"/>
      <c r="J425" s="278"/>
      <c r="K425" s="269"/>
      <c r="L425" s="270"/>
      <c r="M425" s="5"/>
      <c r="N425" s="277"/>
      <c r="O425" s="277"/>
      <c r="P425" s="274"/>
      <c r="Q425" s="275"/>
    </row>
    <row r="426" spans="1:18" hidden="1">
      <c r="A426" s="283"/>
      <c r="B426" s="266"/>
      <c r="C426" s="266"/>
      <c r="D426" s="289"/>
      <c r="E426" s="266"/>
      <c r="F426" s="268"/>
      <c r="G426" s="268"/>
      <c r="H426" s="269"/>
      <c r="I426" s="278"/>
      <c r="J426" s="278"/>
      <c r="K426" s="269"/>
      <c r="L426" s="270"/>
      <c r="M426" s="5"/>
      <c r="N426" s="277"/>
      <c r="O426" s="277"/>
      <c r="P426" s="274"/>
      <c r="Q426" s="275"/>
    </row>
    <row r="427" spans="1:18" hidden="1">
      <c r="A427" s="283"/>
      <c r="B427" s="266"/>
      <c r="C427" s="266"/>
      <c r="D427" s="267"/>
      <c r="E427" s="266"/>
      <c r="F427" s="268"/>
      <c r="G427" s="272"/>
      <c r="H427" s="269"/>
      <c r="I427" s="278"/>
      <c r="J427" s="278"/>
      <c r="K427" s="269"/>
      <c r="L427" s="270"/>
      <c r="M427" s="5"/>
      <c r="N427" s="277"/>
      <c r="O427" s="277"/>
      <c r="P427" s="274"/>
      <c r="Q427" s="275"/>
    </row>
    <row r="428" spans="1:18" hidden="1">
      <c r="A428" s="266"/>
      <c r="B428" s="266"/>
      <c r="C428" s="266"/>
      <c r="D428" s="267"/>
      <c r="E428" s="266"/>
      <c r="F428" s="268"/>
      <c r="G428" s="268"/>
      <c r="H428" s="269"/>
      <c r="I428" s="278"/>
      <c r="J428" s="278"/>
      <c r="K428" s="269"/>
      <c r="L428" s="270"/>
      <c r="M428" s="5"/>
      <c r="N428" s="277"/>
      <c r="O428" s="277"/>
      <c r="P428" s="274"/>
      <c r="Q428" s="275"/>
    </row>
    <row r="429" spans="1:18" hidden="1">
      <c r="A429" s="266"/>
      <c r="B429" s="266"/>
      <c r="C429" s="266"/>
      <c r="D429" s="267"/>
      <c r="E429" s="266"/>
      <c r="F429" s="268"/>
      <c r="G429" s="268"/>
      <c r="H429" s="269"/>
      <c r="I429" s="278"/>
      <c r="J429" s="278"/>
      <c r="K429" s="270"/>
      <c r="L429" s="270"/>
      <c r="M429" s="5"/>
      <c r="N429" s="277"/>
      <c r="O429" s="279"/>
      <c r="P429" s="274"/>
      <c r="Q429" s="275"/>
      <c r="R429" s="276"/>
    </row>
    <row r="430" spans="1:18" hidden="1">
      <c r="A430" s="266"/>
      <c r="B430" s="266"/>
      <c r="C430" s="266"/>
      <c r="D430" s="267"/>
      <c r="E430" s="266"/>
      <c r="F430" s="268"/>
      <c r="G430" s="268"/>
      <c r="H430" s="269"/>
      <c r="I430" s="278"/>
      <c r="J430" s="278"/>
      <c r="K430" s="269"/>
      <c r="L430" s="270"/>
      <c r="M430" s="5"/>
      <c r="N430" s="277"/>
      <c r="O430" s="277"/>
      <c r="P430" s="274"/>
      <c r="Q430" s="275"/>
    </row>
    <row r="431" spans="1:18" ht="79.05" hidden="1" customHeight="1">
      <c r="A431" s="266"/>
      <c r="B431" s="266"/>
      <c r="C431" s="266"/>
      <c r="D431" s="267"/>
      <c r="E431" s="266"/>
      <c r="F431" s="268"/>
      <c r="G431" s="268"/>
      <c r="H431" s="269"/>
      <c r="I431" s="278"/>
      <c r="J431" s="278"/>
      <c r="K431" s="269"/>
      <c r="L431" s="270"/>
      <c r="M431" s="5"/>
      <c r="N431" s="277"/>
      <c r="O431" s="277"/>
      <c r="P431" s="274"/>
      <c r="Q431" s="275"/>
    </row>
    <row r="432" spans="1:18" hidden="1">
      <c r="A432" s="266"/>
      <c r="B432" s="266"/>
      <c r="C432" s="266"/>
      <c r="D432" s="267"/>
      <c r="E432" s="266"/>
      <c r="F432" s="268"/>
      <c r="G432" s="268"/>
      <c r="H432" s="269"/>
      <c r="I432" s="278"/>
      <c r="J432" s="278"/>
      <c r="K432" s="270"/>
      <c r="L432" s="270"/>
      <c r="M432" s="5"/>
      <c r="N432" s="277"/>
      <c r="O432" s="277"/>
      <c r="P432" s="274"/>
      <c r="Q432" s="275"/>
    </row>
    <row r="433" spans="1:18" hidden="1">
      <c r="A433" s="266"/>
      <c r="B433" s="266"/>
      <c r="C433" s="266"/>
      <c r="D433" s="289"/>
      <c r="E433" s="266"/>
      <c r="F433" s="268"/>
      <c r="G433" s="268"/>
      <c r="H433" s="269"/>
      <c r="I433" s="278"/>
      <c r="J433" s="278"/>
      <c r="K433" s="269"/>
      <c r="L433" s="270"/>
      <c r="M433" s="5"/>
      <c r="N433" s="277"/>
      <c r="O433" s="277"/>
      <c r="P433" s="274"/>
      <c r="Q433" s="275"/>
    </row>
    <row r="434" spans="1:18" hidden="1">
      <c r="A434" s="266"/>
      <c r="B434" s="266"/>
      <c r="C434" s="266"/>
      <c r="D434" s="289"/>
      <c r="E434" s="266"/>
      <c r="F434" s="268"/>
      <c r="G434" s="268"/>
      <c r="H434" s="269"/>
      <c r="I434" s="278"/>
      <c r="J434" s="278"/>
      <c r="K434" s="270"/>
      <c r="L434" s="270"/>
      <c r="M434" s="5"/>
      <c r="N434" s="277"/>
      <c r="O434" s="277"/>
      <c r="P434" s="274"/>
      <c r="Q434" s="275"/>
    </row>
    <row r="435" spans="1:18" hidden="1">
      <c r="A435" s="266"/>
      <c r="B435" s="266"/>
      <c r="C435" s="266"/>
      <c r="D435" s="267"/>
      <c r="E435" s="266"/>
      <c r="F435" s="268"/>
      <c r="G435" s="268"/>
      <c r="H435" s="269"/>
      <c r="I435" s="278"/>
      <c r="J435" s="278"/>
      <c r="K435" s="269"/>
      <c r="L435" s="270"/>
      <c r="M435" s="5"/>
      <c r="N435" s="277"/>
      <c r="O435" s="277"/>
      <c r="P435" s="274"/>
      <c r="Q435" s="275"/>
    </row>
    <row r="436" spans="1:18" hidden="1">
      <c r="A436" s="266"/>
      <c r="B436" s="266"/>
      <c r="C436" s="266"/>
      <c r="D436" s="267"/>
      <c r="E436" s="266"/>
      <c r="F436" s="268"/>
      <c r="G436" s="268"/>
      <c r="H436" s="269"/>
      <c r="I436" s="278"/>
      <c r="J436" s="278"/>
      <c r="K436" s="269"/>
      <c r="L436" s="270"/>
      <c r="M436" s="5"/>
      <c r="N436" s="277"/>
      <c r="O436" s="277"/>
      <c r="P436" s="274"/>
      <c r="Q436" s="275"/>
    </row>
    <row r="437" spans="1:18" hidden="1">
      <c r="A437" s="266"/>
      <c r="B437" s="266"/>
      <c r="C437" s="266"/>
      <c r="D437" s="267"/>
      <c r="E437" s="266"/>
      <c r="F437" s="268"/>
      <c r="G437" s="268"/>
      <c r="H437" s="269"/>
      <c r="I437" s="278"/>
      <c r="J437" s="278"/>
      <c r="K437" s="270"/>
      <c r="L437" s="270"/>
      <c r="M437" s="5"/>
      <c r="N437" s="277"/>
      <c r="O437" s="277"/>
      <c r="P437" s="274"/>
      <c r="Q437" s="275"/>
      <c r="R437" s="276"/>
    </row>
    <row r="438" spans="1:18" hidden="1">
      <c r="A438" s="266"/>
      <c r="B438" s="266"/>
      <c r="C438" s="266"/>
      <c r="D438" s="267"/>
      <c r="E438" s="266"/>
      <c r="F438" s="268"/>
      <c r="G438" s="268"/>
      <c r="H438" s="269"/>
      <c r="I438" s="278"/>
      <c r="J438" s="278"/>
      <c r="K438" s="269"/>
      <c r="L438" s="270"/>
      <c r="M438" s="5"/>
      <c r="N438" s="277"/>
      <c r="O438" s="277"/>
      <c r="P438" s="274"/>
      <c r="Q438" s="275"/>
    </row>
    <row r="439" spans="1:18" ht="165" hidden="1" customHeight="1">
      <c r="A439" s="266"/>
      <c r="B439" s="266"/>
      <c r="C439" s="266"/>
      <c r="D439" s="267"/>
      <c r="E439" s="266"/>
      <c r="F439" s="268"/>
      <c r="G439" s="268"/>
      <c r="H439" s="269"/>
      <c r="I439" s="278"/>
      <c r="J439" s="278"/>
      <c r="K439" s="270"/>
      <c r="L439" s="270"/>
      <c r="M439" s="5"/>
      <c r="N439" s="277"/>
      <c r="O439" s="277"/>
      <c r="P439" s="274"/>
      <c r="Q439" s="275"/>
      <c r="R439" s="276"/>
    </row>
    <row r="440" spans="1:18" hidden="1">
      <c r="A440" s="266"/>
      <c r="B440" s="266"/>
      <c r="C440" s="266"/>
      <c r="D440" s="267"/>
      <c r="E440" s="266"/>
      <c r="F440" s="268"/>
      <c r="G440" s="268"/>
      <c r="H440" s="269"/>
      <c r="I440" s="278"/>
      <c r="J440" s="278"/>
      <c r="K440" s="270"/>
      <c r="L440" s="270"/>
      <c r="M440" s="5">
        <v>1</v>
      </c>
      <c r="N440" s="277"/>
      <c r="O440" s="277"/>
      <c r="P440" s="274"/>
      <c r="Q440" s="275"/>
    </row>
    <row r="441" spans="1:18" hidden="1">
      <c r="A441" s="266"/>
      <c r="B441" s="266"/>
      <c r="C441" s="266"/>
      <c r="D441" s="267"/>
      <c r="E441" s="266"/>
      <c r="F441" s="268"/>
      <c r="G441" s="268"/>
      <c r="H441" s="269"/>
      <c r="I441" s="278"/>
      <c r="J441" s="278"/>
      <c r="K441" s="270"/>
      <c r="L441" s="270"/>
      <c r="M441" s="5"/>
      <c r="N441" s="277"/>
      <c r="O441" s="277"/>
      <c r="P441" s="274"/>
      <c r="Q441" s="275"/>
      <c r="R441" s="276"/>
    </row>
    <row r="442" spans="1:18" hidden="1">
      <c r="A442" s="266"/>
      <c r="B442" s="266"/>
      <c r="C442" s="266"/>
      <c r="D442" s="267"/>
      <c r="E442" s="266"/>
      <c r="F442" s="268"/>
      <c r="G442" s="268"/>
      <c r="H442" s="269"/>
      <c r="I442" s="278"/>
      <c r="J442" s="278"/>
      <c r="K442" s="269"/>
      <c r="L442" s="270"/>
      <c r="M442" s="5"/>
      <c r="N442" s="277"/>
      <c r="O442" s="277"/>
      <c r="P442" s="274"/>
      <c r="Q442" s="275"/>
    </row>
    <row r="443" spans="1:18" hidden="1">
      <c r="A443" s="266"/>
      <c r="B443" s="266"/>
      <c r="C443" s="266"/>
      <c r="D443" s="267"/>
      <c r="E443" s="266"/>
      <c r="F443" s="268"/>
      <c r="G443" s="268"/>
      <c r="H443" s="269"/>
      <c r="I443" s="278"/>
      <c r="J443" s="278"/>
      <c r="K443" s="270"/>
      <c r="L443" s="270"/>
      <c r="M443" s="5">
        <v>1</v>
      </c>
      <c r="N443" s="277"/>
      <c r="O443" s="277"/>
      <c r="P443" s="274"/>
      <c r="Q443" s="275"/>
    </row>
    <row r="444" spans="1:18" hidden="1">
      <c r="A444" s="266"/>
      <c r="B444" s="266"/>
      <c r="C444" s="266"/>
      <c r="D444" s="267"/>
      <c r="E444" s="266"/>
      <c r="F444" s="268"/>
      <c r="G444" s="268"/>
      <c r="H444" s="269"/>
      <c r="I444" s="278"/>
      <c r="J444" s="278"/>
      <c r="K444" s="270"/>
      <c r="L444" s="270"/>
      <c r="M444" s="5"/>
      <c r="N444" s="277"/>
      <c r="O444" s="277"/>
      <c r="P444" s="274"/>
      <c r="Q444" s="275"/>
    </row>
    <row r="445" spans="1:18" hidden="1">
      <c r="A445" s="266"/>
      <c r="B445" s="266"/>
      <c r="C445" s="266"/>
      <c r="D445" s="267"/>
      <c r="E445" s="266"/>
      <c r="F445" s="268"/>
      <c r="G445" s="268"/>
      <c r="H445" s="269"/>
      <c r="I445" s="278"/>
      <c r="J445" s="278"/>
      <c r="K445" s="270"/>
      <c r="L445" s="270"/>
      <c r="M445" s="5"/>
      <c r="N445" s="277"/>
      <c r="O445" s="277"/>
      <c r="P445" s="274"/>
      <c r="Q445" s="275"/>
    </row>
    <row r="446" spans="1:18" hidden="1">
      <c r="A446" s="266"/>
      <c r="B446" s="266"/>
      <c r="C446" s="266"/>
      <c r="D446" s="289"/>
      <c r="E446" s="266"/>
      <c r="F446" s="268"/>
      <c r="G446" s="268"/>
      <c r="H446" s="269"/>
      <c r="I446" s="278"/>
      <c r="J446" s="278"/>
      <c r="K446" s="269"/>
      <c r="L446" s="270"/>
      <c r="M446" s="5"/>
      <c r="N446" s="277"/>
      <c r="O446" s="277"/>
      <c r="P446" s="274"/>
      <c r="Q446" s="275"/>
    </row>
    <row r="447" spans="1:18" hidden="1">
      <c r="A447" s="266"/>
      <c r="B447" s="266"/>
      <c r="C447" s="266"/>
      <c r="D447" s="267"/>
      <c r="E447" s="266"/>
      <c r="F447" s="268"/>
      <c r="G447" s="268"/>
      <c r="H447" s="269"/>
      <c r="I447" s="278"/>
      <c r="J447" s="278"/>
      <c r="K447" s="269"/>
      <c r="L447" s="270"/>
      <c r="M447" s="5"/>
      <c r="N447" s="277"/>
      <c r="O447" s="277"/>
      <c r="P447" s="274"/>
      <c r="Q447" s="275"/>
    </row>
    <row r="448" spans="1:18" hidden="1">
      <c r="A448" s="266"/>
      <c r="B448" s="266"/>
      <c r="C448" s="266"/>
      <c r="D448" s="267"/>
      <c r="E448" s="266"/>
      <c r="F448" s="268"/>
      <c r="G448" s="268"/>
      <c r="H448" s="269"/>
      <c r="I448" s="278"/>
      <c r="J448" s="278"/>
      <c r="K448" s="269"/>
      <c r="L448" s="270"/>
      <c r="M448" s="5"/>
      <c r="N448" s="277"/>
      <c r="O448" s="277"/>
      <c r="P448" s="274"/>
      <c r="Q448" s="275"/>
    </row>
    <row r="449" spans="1:18" hidden="1">
      <c r="A449" s="266"/>
      <c r="B449" s="266"/>
      <c r="C449" s="266"/>
      <c r="D449" s="267"/>
      <c r="E449" s="266"/>
      <c r="F449" s="268"/>
      <c r="G449" s="268"/>
      <c r="H449" s="269"/>
      <c r="I449" s="278"/>
      <c r="J449" s="278"/>
      <c r="K449" s="269"/>
      <c r="L449" s="270"/>
      <c r="M449" s="5"/>
      <c r="N449" s="277"/>
      <c r="O449" s="277"/>
      <c r="P449" s="274"/>
      <c r="Q449" s="275"/>
    </row>
    <row r="450" spans="1:18" ht="115.5" hidden="1" customHeight="1">
      <c r="A450" s="266"/>
      <c r="B450" s="266"/>
      <c r="C450" s="266"/>
      <c r="D450" s="267"/>
      <c r="E450" s="266"/>
      <c r="F450" s="268"/>
      <c r="G450" s="268"/>
      <c r="H450" s="269"/>
      <c r="I450" s="278"/>
      <c r="J450" s="278"/>
      <c r="K450" s="269"/>
      <c r="L450" s="270"/>
      <c r="M450" s="5"/>
      <c r="N450" s="279"/>
      <c r="O450" s="279"/>
      <c r="P450" s="274"/>
      <c r="Q450" s="275"/>
    </row>
    <row r="451" spans="1:18" hidden="1">
      <c r="A451" s="266"/>
      <c r="B451" s="266"/>
      <c r="C451" s="266"/>
      <c r="D451" s="267"/>
      <c r="E451" s="266"/>
      <c r="F451" s="268"/>
      <c r="G451" s="268"/>
      <c r="H451" s="269"/>
      <c r="I451" s="278"/>
      <c r="J451" s="278"/>
      <c r="K451" s="270"/>
      <c r="L451" s="270"/>
      <c r="M451" s="5"/>
      <c r="N451" s="279"/>
      <c r="O451" s="279"/>
      <c r="P451" s="274"/>
      <c r="Q451" s="275"/>
      <c r="R451" s="276"/>
    </row>
    <row r="452" spans="1:18" hidden="1">
      <c r="A452" s="266"/>
      <c r="B452" s="266"/>
      <c r="C452" s="266"/>
      <c r="D452" s="267"/>
      <c r="E452" s="266"/>
      <c r="F452" s="268"/>
      <c r="G452" s="268"/>
      <c r="H452" s="269"/>
      <c r="I452" s="278"/>
      <c r="J452" s="278"/>
      <c r="K452" s="269"/>
      <c r="L452" s="270"/>
      <c r="M452" s="5"/>
      <c r="N452" s="279"/>
      <c r="O452" s="279"/>
      <c r="P452" s="274"/>
      <c r="Q452" s="275"/>
    </row>
    <row r="453" spans="1:18" hidden="1">
      <c r="A453" s="266"/>
      <c r="B453" s="266"/>
      <c r="C453" s="266"/>
      <c r="D453" s="267"/>
      <c r="E453" s="266"/>
      <c r="F453" s="268"/>
      <c r="G453" s="268"/>
      <c r="H453" s="269"/>
      <c r="I453" s="278"/>
      <c r="J453" s="278"/>
      <c r="K453" s="270"/>
      <c r="L453" s="270"/>
      <c r="M453" s="5"/>
      <c r="N453" s="277"/>
      <c r="O453" s="277"/>
      <c r="P453" s="274"/>
      <c r="Q453" s="275"/>
    </row>
    <row r="454" spans="1:18" hidden="1">
      <c r="A454" s="266"/>
      <c r="B454" s="266"/>
      <c r="C454" s="266"/>
      <c r="D454" s="267"/>
      <c r="E454" s="266"/>
      <c r="F454" s="268"/>
      <c r="G454" s="268"/>
      <c r="H454" s="269"/>
      <c r="I454" s="278"/>
      <c r="J454" s="278"/>
      <c r="K454" s="269"/>
      <c r="L454" s="270"/>
      <c r="M454" s="5"/>
      <c r="N454" s="277"/>
      <c r="O454" s="277"/>
      <c r="P454" s="274"/>
      <c r="Q454" s="275"/>
    </row>
    <row r="455" spans="1:18" hidden="1">
      <c r="A455" s="266"/>
      <c r="B455" s="266"/>
      <c r="C455" s="266"/>
      <c r="D455" s="267"/>
      <c r="E455" s="266"/>
      <c r="F455" s="268"/>
      <c r="G455" s="268"/>
      <c r="H455" s="269"/>
      <c r="I455" s="278"/>
      <c r="J455" s="278"/>
      <c r="K455" s="269"/>
      <c r="L455" s="270"/>
      <c r="M455" s="5"/>
      <c r="N455" s="277"/>
      <c r="O455" s="277"/>
      <c r="P455" s="274"/>
      <c r="Q455" s="275"/>
    </row>
    <row r="456" spans="1:18" ht="67.05" hidden="1" customHeight="1">
      <c r="A456" s="266"/>
      <c r="B456" s="266"/>
      <c r="C456" s="266"/>
      <c r="D456" s="267"/>
      <c r="E456" s="266"/>
      <c r="F456" s="268"/>
      <c r="G456" s="268"/>
      <c r="H456" s="269"/>
      <c r="I456" s="278"/>
      <c r="J456" s="278"/>
      <c r="K456" s="269"/>
      <c r="L456" s="270"/>
      <c r="M456" s="5"/>
      <c r="N456" s="277"/>
      <c r="O456" s="277"/>
      <c r="P456" s="274"/>
      <c r="Q456" s="275"/>
    </row>
    <row r="457" spans="1:18" hidden="1">
      <c r="A457" s="266"/>
      <c r="B457" s="266"/>
      <c r="C457" s="266"/>
      <c r="D457" s="267"/>
      <c r="E457" s="266"/>
      <c r="F457" s="268"/>
      <c r="G457" s="268"/>
      <c r="H457" s="269"/>
      <c r="I457" s="278"/>
      <c r="J457" s="278"/>
      <c r="K457" s="269"/>
      <c r="L457" s="270"/>
      <c r="M457" s="5"/>
      <c r="N457" s="277"/>
      <c r="O457" s="277"/>
      <c r="P457" s="274"/>
      <c r="Q457" s="275"/>
    </row>
    <row r="458" spans="1:18" hidden="1">
      <c r="A458" s="266"/>
      <c r="B458" s="266"/>
      <c r="C458" s="266"/>
      <c r="D458" s="267"/>
      <c r="E458" s="266"/>
      <c r="F458" s="268"/>
      <c r="G458" s="268"/>
      <c r="H458" s="269"/>
      <c r="I458" s="278"/>
      <c r="J458" s="278"/>
      <c r="K458" s="269"/>
      <c r="L458" s="270"/>
      <c r="M458" s="5"/>
      <c r="N458" s="277"/>
      <c r="O458" s="277"/>
      <c r="P458" s="274"/>
      <c r="Q458" s="275"/>
    </row>
    <row r="459" spans="1:18" hidden="1">
      <c r="A459" s="266"/>
      <c r="B459" s="266"/>
      <c r="C459" s="266"/>
      <c r="D459" s="289"/>
      <c r="E459" s="266"/>
      <c r="F459" s="268"/>
      <c r="G459" s="268"/>
      <c r="H459" s="269"/>
      <c r="I459" s="278"/>
      <c r="J459" s="278"/>
      <c r="K459" s="270"/>
      <c r="L459" s="270"/>
      <c r="M459" s="5">
        <v>1</v>
      </c>
      <c r="N459" s="277"/>
      <c r="O459" s="277"/>
      <c r="P459" s="274"/>
      <c r="Q459" s="275"/>
    </row>
    <row r="460" spans="1:18" hidden="1">
      <c r="A460" s="266"/>
      <c r="B460" s="266"/>
      <c r="C460" s="266"/>
      <c r="D460" s="267"/>
      <c r="E460" s="266"/>
      <c r="F460" s="268"/>
      <c r="G460" s="268"/>
      <c r="H460" s="269"/>
      <c r="I460" s="278"/>
      <c r="J460" s="278"/>
      <c r="K460" s="269"/>
      <c r="L460" s="270"/>
      <c r="M460" s="5"/>
      <c r="N460" s="277"/>
      <c r="O460" s="277"/>
      <c r="P460" s="274"/>
      <c r="Q460" s="275"/>
    </row>
    <row r="461" spans="1:18" hidden="1">
      <c r="A461" s="266"/>
      <c r="B461" s="266"/>
      <c r="C461" s="266"/>
      <c r="D461" s="267"/>
      <c r="E461" s="266"/>
      <c r="F461" s="268"/>
      <c r="G461" s="268"/>
      <c r="H461" s="269"/>
      <c r="I461" s="278"/>
      <c r="J461" s="278"/>
      <c r="K461" s="269"/>
      <c r="L461" s="270"/>
      <c r="M461" s="5"/>
      <c r="N461" s="277"/>
      <c r="O461" s="277"/>
      <c r="P461" s="274"/>
      <c r="Q461" s="275"/>
    </row>
    <row r="462" spans="1:18" hidden="1">
      <c r="A462" s="266"/>
      <c r="B462" s="266"/>
      <c r="C462" s="266"/>
      <c r="D462" s="267"/>
      <c r="E462" s="266"/>
      <c r="F462" s="268"/>
      <c r="G462" s="268"/>
      <c r="H462" s="269"/>
      <c r="I462" s="278"/>
      <c r="J462" s="278"/>
      <c r="K462" s="270"/>
      <c r="L462" s="270"/>
      <c r="M462" s="5"/>
      <c r="N462" s="279"/>
      <c r="O462" s="279"/>
      <c r="P462" s="274"/>
      <c r="Q462" s="275"/>
      <c r="R462" s="276"/>
    </row>
    <row r="463" spans="1:18" hidden="1">
      <c r="A463" s="266"/>
      <c r="B463" s="266"/>
      <c r="C463" s="266"/>
      <c r="D463" s="267"/>
      <c r="E463" s="266"/>
      <c r="F463" s="268"/>
      <c r="G463" s="268"/>
      <c r="H463" s="269"/>
      <c r="I463" s="278"/>
      <c r="J463" s="278"/>
      <c r="K463" s="269"/>
      <c r="L463" s="270"/>
      <c r="M463" s="5"/>
      <c r="N463" s="279"/>
      <c r="O463" s="279"/>
      <c r="P463" s="274"/>
      <c r="Q463" s="275"/>
    </row>
    <row r="464" spans="1:18" hidden="1">
      <c r="A464" s="266"/>
      <c r="B464" s="266"/>
      <c r="C464" s="266"/>
      <c r="D464" s="267"/>
      <c r="E464" s="266"/>
      <c r="F464" s="268"/>
      <c r="G464" s="268"/>
      <c r="H464" s="269"/>
      <c r="I464" s="278"/>
      <c r="J464" s="278"/>
      <c r="K464" s="269"/>
      <c r="L464" s="270"/>
      <c r="M464" s="5"/>
      <c r="N464" s="279"/>
      <c r="O464" s="279"/>
      <c r="P464" s="274"/>
      <c r="Q464" s="275"/>
    </row>
    <row r="465" spans="1:18" ht="83.55" hidden="1" customHeight="1">
      <c r="A465" s="266"/>
      <c r="B465" s="266"/>
      <c r="C465" s="266"/>
      <c r="D465" s="267"/>
      <c r="E465" s="266"/>
      <c r="F465" s="268"/>
      <c r="G465" s="268"/>
      <c r="H465" s="269"/>
      <c r="I465" s="278"/>
      <c r="J465" s="278"/>
      <c r="K465" s="269"/>
      <c r="L465" s="270"/>
      <c r="M465" s="5"/>
      <c r="N465" s="277"/>
      <c r="O465" s="277"/>
      <c r="P465" s="274"/>
      <c r="Q465" s="275"/>
    </row>
    <row r="466" spans="1:18" ht="166.95" hidden="1" customHeight="1">
      <c r="A466" s="266"/>
      <c r="B466" s="266"/>
      <c r="C466" s="266"/>
      <c r="D466" s="267"/>
      <c r="E466" s="266"/>
      <c r="F466" s="268"/>
      <c r="G466" s="268"/>
      <c r="H466" s="269"/>
      <c r="I466" s="278"/>
      <c r="J466" s="278"/>
      <c r="K466" s="270"/>
      <c r="L466" s="270"/>
      <c r="M466" s="5">
        <v>1</v>
      </c>
      <c r="N466" s="277"/>
      <c r="O466" s="277"/>
      <c r="P466" s="274"/>
      <c r="Q466" s="275"/>
      <c r="R466" s="276"/>
    </row>
    <row r="467" spans="1:18" hidden="1">
      <c r="A467" s="266"/>
      <c r="B467" s="266"/>
      <c r="C467" s="266"/>
      <c r="D467" s="267"/>
      <c r="E467" s="266"/>
      <c r="F467" s="268"/>
      <c r="G467" s="268"/>
      <c r="H467" s="269"/>
      <c r="I467" s="278"/>
      <c r="J467" s="278"/>
      <c r="K467" s="270"/>
      <c r="L467" s="270"/>
      <c r="M467" s="5"/>
      <c r="N467" s="277"/>
      <c r="O467" s="277"/>
      <c r="P467" s="274"/>
      <c r="Q467" s="275"/>
    </row>
    <row r="468" spans="1:18" ht="154.05000000000001" hidden="1" customHeight="1">
      <c r="A468" s="266"/>
      <c r="B468" s="266"/>
      <c r="C468" s="266"/>
      <c r="D468" s="267"/>
      <c r="E468" s="266"/>
      <c r="F468" s="268"/>
      <c r="G468" s="268"/>
      <c r="H468" s="269"/>
      <c r="I468" s="278"/>
      <c r="J468" s="278"/>
      <c r="K468" s="270"/>
      <c r="L468" s="270"/>
      <c r="M468" s="5">
        <v>1</v>
      </c>
      <c r="N468" s="277"/>
      <c r="O468" s="277"/>
      <c r="P468" s="274"/>
      <c r="Q468" s="275"/>
      <c r="R468" s="276"/>
    </row>
    <row r="469" spans="1:18" hidden="1">
      <c r="A469" s="266"/>
      <c r="B469" s="266"/>
      <c r="C469" s="266"/>
      <c r="D469" s="289"/>
      <c r="E469" s="266"/>
      <c r="F469" s="268"/>
      <c r="G469" s="268"/>
      <c r="H469" s="269"/>
      <c r="I469" s="286"/>
      <c r="J469" s="297"/>
      <c r="K469" s="270"/>
      <c r="L469" s="270"/>
      <c r="M469" s="5"/>
      <c r="N469" s="277"/>
      <c r="O469" s="277"/>
      <c r="P469" s="274"/>
      <c r="Q469" s="275"/>
    </row>
    <row r="470" spans="1:18" hidden="1">
      <c r="A470" s="266"/>
      <c r="B470" s="266"/>
      <c r="C470" s="266"/>
      <c r="D470" s="267"/>
      <c r="E470" s="266"/>
      <c r="F470" s="268"/>
      <c r="G470" s="268"/>
      <c r="H470" s="269"/>
      <c r="I470" s="278"/>
      <c r="J470" s="278"/>
      <c r="K470" s="269"/>
      <c r="L470" s="270"/>
      <c r="M470" s="5"/>
      <c r="N470" s="277"/>
      <c r="O470" s="277"/>
      <c r="P470" s="274"/>
      <c r="Q470" s="275"/>
    </row>
    <row r="471" spans="1:18" hidden="1">
      <c r="A471" s="266"/>
      <c r="B471" s="266"/>
      <c r="C471" s="266"/>
      <c r="D471" s="267"/>
      <c r="E471" s="266"/>
      <c r="F471" s="268"/>
      <c r="G471" s="268"/>
      <c r="H471" s="269"/>
      <c r="I471" s="278"/>
      <c r="J471" s="278"/>
      <c r="K471" s="269"/>
      <c r="L471" s="270"/>
      <c r="M471" s="5"/>
      <c r="N471" s="277"/>
      <c r="O471" s="277"/>
      <c r="P471" s="274"/>
      <c r="Q471" s="275"/>
    </row>
    <row r="472" spans="1:18" hidden="1">
      <c r="A472" s="266"/>
      <c r="B472" s="266"/>
      <c r="C472" s="266"/>
      <c r="D472" s="267"/>
      <c r="E472" s="266"/>
      <c r="F472" s="268"/>
      <c r="G472" s="268"/>
      <c r="H472" s="269"/>
      <c r="I472" s="278"/>
      <c r="J472" s="278"/>
      <c r="K472" s="269"/>
      <c r="L472" s="270"/>
      <c r="M472" s="5"/>
      <c r="N472" s="279"/>
      <c r="O472" s="279"/>
      <c r="P472" s="274"/>
      <c r="Q472" s="275"/>
    </row>
    <row r="473" spans="1:18" hidden="1">
      <c r="A473" s="266"/>
      <c r="B473" s="266"/>
      <c r="C473" s="266"/>
      <c r="D473" s="267"/>
      <c r="E473" s="266"/>
      <c r="F473" s="268"/>
      <c r="G473" s="268"/>
      <c r="H473" s="269"/>
      <c r="I473" s="278"/>
      <c r="J473" s="278"/>
      <c r="K473" s="269"/>
      <c r="L473" s="270"/>
      <c r="M473" s="5"/>
      <c r="N473" s="279"/>
      <c r="O473" s="279"/>
      <c r="P473" s="274"/>
      <c r="Q473" s="275"/>
    </row>
    <row r="474" spans="1:18" hidden="1">
      <c r="A474" s="266"/>
      <c r="B474" s="266"/>
      <c r="C474" s="266"/>
      <c r="D474" s="267"/>
      <c r="E474" s="266"/>
      <c r="F474" s="268"/>
      <c r="G474" s="268"/>
      <c r="H474" s="269"/>
      <c r="I474" s="278"/>
      <c r="J474" s="278"/>
      <c r="K474" s="269"/>
      <c r="L474" s="270"/>
      <c r="M474" s="5"/>
      <c r="N474" s="277"/>
      <c r="O474" s="277"/>
      <c r="P474" s="274"/>
      <c r="Q474" s="275"/>
    </row>
    <row r="475" spans="1:18" hidden="1">
      <c r="A475" s="266"/>
      <c r="B475" s="266"/>
      <c r="C475" s="266"/>
      <c r="D475" s="267"/>
      <c r="E475" s="266"/>
      <c r="F475" s="268"/>
      <c r="G475" s="268"/>
      <c r="H475" s="269"/>
      <c r="I475" s="278"/>
      <c r="J475" s="278"/>
      <c r="K475" s="270"/>
      <c r="L475" s="270"/>
      <c r="M475" s="5"/>
      <c r="N475" s="279"/>
      <c r="O475" s="279"/>
      <c r="P475" s="274"/>
      <c r="Q475" s="275"/>
      <c r="R475" s="276"/>
    </row>
    <row r="476" spans="1:18" hidden="1">
      <c r="A476" s="266"/>
      <c r="B476" s="266"/>
      <c r="C476" s="266"/>
      <c r="D476" s="267"/>
      <c r="E476" s="266"/>
      <c r="F476" s="268"/>
      <c r="G476" s="268"/>
      <c r="H476" s="269"/>
      <c r="I476" s="278"/>
      <c r="J476" s="278"/>
      <c r="K476" s="269"/>
      <c r="L476" s="270"/>
      <c r="M476" s="5"/>
      <c r="N476" s="277"/>
      <c r="O476" s="277"/>
      <c r="P476" s="274"/>
      <c r="Q476" s="275"/>
    </row>
    <row r="477" spans="1:18" hidden="1">
      <c r="A477" s="266"/>
      <c r="B477" s="266"/>
      <c r="C477" s="266"/>
      <c r="D477" s="267"/>
      <c r="E477" s="266"/>
      <c r="F477" s="268"/>
      <c r="G477" s="268"/>
      <c r="H477" s="269"/>
      <c r="I477" s="278"/>
      <c r="J477" s="278"/>
      <c r="K477" s="270"/>
      <c r="L477" s="270"/>
      <c r="M477" s="5"/>
      <c r="N477" s="277"/>
      <c r="O477" s="277"/>
      <c r="P477" s="274"/>
      <c r="Q477" s="275"/>
      <c r="R477" s="276"/>
    </row>
    <row r="478" spans="1:18" hidden="1">
      <c r="A478" s="266"/>
      <c r="B478" s="266"/>
      <c r="C478" s="266"/>
      <c r="D478" s="267"/>
      <c r="E478" s="266"/>
      <c r="F478" s="268"/>
      <c r="G478" s="268"/>
      <c r="H478" s="269"/>
      <c r="I478" s="278"/>
      <c r="J478" s="278"/>
      <c r="K478" s="269"/>
      <c r="L478" s="270"/>
      <c r="M478" s="5"/>
      <c r="N478" s="277"/>
      <c r="O478" s="277"/>
      <c r="P478" s="274"/>
      <c r="Q478" s="275"/>
    </row>
    <row r="479" spans="1:18" hidden="1">
      <c r="A479" s="266"/>
      <c r="B479" s="266"/>
      <c r="C479" s="266"/>
      <c r="D479" s="267"/>
      <c r="E479" s="266"/>
      <c r="F479" s="268"/>
      <c r="G479" s="268"/>
      <c r="H479" s="269"/>
      <c r="I479" s="278"/>
      <c r="J479" s="278"/>
      <c r="K479" s="270"/>
      <c r="L479" s="270"/>
      <c r="M479" s="5"/>
      <c r="N479" s="277"/>
      <c r="O479" s="277"/>
      <c r="P479" s="274"/>
      <c r="Q479" s="275"/>
    </row>
    <row r="480" spans="1:18" hidden="1">
      <c r="A480" s="266"/>
      <c r="B480" s="266"/>
      <c r="C480" s="266"/>
      <c r="D480" s="267"/>
      <c r="E480" s="266"/>
      <c r="F480" s="268"/>
      <c r="G480" s="268"/>
      <c r="H480" s="269"/>
      <c r="I480" s="278"/>
      <c r="J480" s="278"/>
      <c r="K480" s="270"/>
      <c r="L480" s="270"/>
      <c r="M480" s="5"/>
      <c r="N480" s="277"/>
      <c r="O480" s="277"/>
      <c r="P480" s="274"/>
      <c r="Q480" s="275"/>
    </row>
    <row r="481" spans="1:17" hidden="1">
      <c r="A481" s="266"/>
      <c r="B481" s="266"/>
      <c r="C481" s="266"/>
      <c r="D481" s="289"/>
      <c r="E481" s="266"/>
      <c r="F481" s="268"/>
      <c r="G481" s="268"/>
      <c r="H481" s="269"/>
      <c r="I481" s="278"/>
      <c r="J481" s="278"/>
      <c r="K481" s="270"/>
      <c r="L481" s="270"/>
      <c r="M481" s="5">
        <v>1</v>
      </c>
      <c r="N481" s="277"/>
      <c r="O481" s="277"/>
      <c r="P481" s="274"/>
      <c r="Q481" s="275"/>
    </row>
    <row r="482" spans="1:17" hidden="1">
      <c r="A482" s="298"/>
      <c r="B482" s="298"/>
      <c r="C482" s="298"/>
      <c r="D482" s="267"/>
      <c r="E482" s="298"/>
      <c r="F482" s="299"/>
      <c r="G482" s="299"/>
      <c r="H482" s="300"/>
      <c r="I482" s="301"/>
      <c r="J482" s="301"/>
      <c r="K482" s="269"/>
      <c r="L482" s="270"/>
      <c r="M482" s="131"/>
      <c r="N482" s="302"/>
      <c r="O482" s="302"/>
      <c r="P482" s="274"/>
      <c r="Q482" s="275"/>
    </row>
  </sheetData>
  <conditionalFormatting sqref="H5:H482">
    <cfRule type="cellIs" dxfId="44" priority="11" operator="equal">
      <formula>"N/A"</formula>
    </cfRule>
    <cfRule type="cellIs" dxfId="43" priority="12" operator="equal">
      <formula>"P3"</formula>
    </cfRule>
    <cfRule type="cellIs" dxfId="42" priority="13" operator="equal">
      <formula>"P2"</formula>
    </cfRule>
    <cfRule type="cellIs" dxfId="41" priority="14" operator="equal">
      <formula>"P1"</formula>
    </cfRule>
  </conditionalFormatting>
  <conditionalFormatting sqref="K5 K10:K11 K16:K17 K22 K34:K35 K37:K40 K48:K49 K51:K55 K61:K62 K65:K67 K70:K72 K74 K77:K79 K81:K84 K86 K90:K91 K93 K98:K100 K103 K107:K109 K112:K114 K117:K119 K121:K128 K137:K139 K141:K145 K147 K153:K162 K165:K166 K168:K171 K173 K178 K182">
    <cfRule type="cellIs" dxfId="40" priority="7" operator="equal">
      <formula>"N/A"</formula>
    </cfRule>
    <cfRule type="cellIs" dxfId="39" priority="8" operator="equal">
      <formula>"P3"</formula>
    </cfRule>
    <cfRule type="cellIs" dxfId="38" priority="9" operator="equal">
      <formula>"P2"</formula>
    </cfRule>
    <cfRule type="cellIs" dxfId="37" priority="10" operator="equal">
      <formula>"P1"</formula>
    </cfRule>
  </conditionalFormatting>
  <conditionalFormatting sqref="K6:K9 K12:K15 K18:K21 K23:K33 K36 K41:K47 K50 K56:K60 K63:K64 K68:K69 K73 K75:K76 K80 K85 K87:K89 K92 K94:K97 K101:K102 K104:K106 K110:K111 K115:K116 K120 K129:K136 K140 K146 K148:K152 K163:K164 K167 K172 K174:K177 K179:K181 K183 K187:K190 K193 K199:K203 K206:K207 K209:K210 K214 K216 K220:K223 K225:K226 K230:K231 K235 K241:K245 K247:K248 K253 K256:K259 K261 K263 K268 K270 K276 K280:K281 K288:K289 K292:K299 K306:K310 K312 K314 K316 K319 K321:K324 K328:K333 K335 K338:K343 K347 K354:K357 K359 K361 K363 K373:K374 K377 K383 K402:K405 K407 K410 K412 K414 K417:K420 K423 K429 K432 K434 K437 K439:K441 K443:K445 K451 K453 K459 K462 K466:K469 K475 K477 K479:K481">
    <cfRule type="cellIs" dxfId="36" priority="16" operator="equal">
      <formula>"Under Development"</formula>
    </cfRule>
  </conditionalFormatting>
  <conditionalFormatting sqref="K6:K9">
    <cfRule type="cellIs" dxfId="35" priority="2" operator="equal">
      <formula>"Partially"</formula>
    </cfRule>
  </conditionalFormatting>
  <conditionalFormatting sqref="K12:K15 K18:K21 K23:K33 K36 K41:K47 K50 K56:K60 K63:K64 K68:K69 K73 K75:K76 K80 K85 K87:K89 K92 K94:K97 K101:K102 K104:K106 K110:K111 K115:K116 K120 K129:K136 K140 K146 K148:K152 K163:K164 K167 K172 K174:K177 K179:K181 K183 K187:K190 K193 K199:K203 K206:K207 K209:K210 K214 K216 K220:K223 K225:K226 K230:K231 K235 K241:K245 K247:K248 K253 K256:K259 K261 K263 K268 K270 K276 K280:K281 K288:K289 K292:K299 K306:K310 K312 K314 K316 K319 K321:K324 K328:K333 K335 K338:K343 K347 K354:K357 K359 K361 K363 K373:K374 K377 K383 K402:K405 K407 K410 K412 K414 K417:K420 K423 K429 K432 K434 K437 K439:K441 K443:K445 K451 K453 K459 K462 K466:K469 K475 K477 K479:K481">
    <cfRule type="cellIs" dxfId="34" priority="1" operator="equal">
      <formula>"Partially"</formula>
    </cfRule>
  </conditionalFormatting>
  <conditionalFormatting sqref="K184:K186 K191:K192 K194:K198 K204:K205 K208 K211:K213 K215 K217:K219 K224 K227:K229 K232:K234 K236:K240 K246 K249:K252 K254:K255 K260 K262 K264:K267 K269 K271:K275 K277:K279 K282:K287 K290:K291 K300:K305 K311 K313 K315 K317:K318 K320 K325:K327 K334 K336:K337 K344:K346 K348:K353 K358 K360 K362 K364:K372 K375:K376 K378:K382 K384:K401 K406 K408:K409 K411 K413 K415:K416 K421:K422 K424:K428 K430:K431 K433 K435:K436 K438 K442 K446:K450 K452 K454:K458 K460:K461 K463:K465 K470:K474 K476 K478 K482">
    <cfRule type="cellIs" dxfId="33" priority="3" operator="equal">
      <formula>"N/A"</formula>
    </cfRule>
    <cfRule type="cellIs" dxfId="32" priority="4" operator="equal">
      <formula>"P3"</formula>
    </cfRule>
    <cfRule type="cellIs" dxfId="31" priority="5" operator="equal">
      <formula>"P2"</formula>
    </cfRule>
    <cfRule type="cellIs" dxfId="30" priority="6" operator="equal">
      <formula>"P1"</formula>
    </cfRule>
  </conditionalFormatting>
  <conditionalFormatting sqref="L5:L482 K6:K9 K12:K15 K18:K21 K23:K33 K36 K41:K47 K50 K56:K60 K63:K64 K68:K69 K73 K75:K76 K80 K85 K87:K89 K92 K94:K97 K101:K102 K104:K106 K110:K111 K115:K116 K120 K129:K136 K140 K146 K148:K152 K163:K164 K167 K172 K174:K177 K179:K181 K183 K187:K190 K193 K199:K203 K206:K207 K209:K210 K214 K216 K220:K223 K225:K226 K230:K231 K235 K241:K245 K247:K248 K253 K256:K259 K261 K263 K268 K270 K276 K280:K281 K288:K289 K292:K299 K306:K310 K312 K314 K316 K319 K321:K324 K328:K333 K335 K338:K343 K347 K354:K357 K359 K361 K363 K373:K374 K377 K383 K402:K405 K407 K410 K412 K414 K417:K420 K423 K429 K432 K434 K437 K439:K441 K443:K445 K451 K453 K459 K462 K466:K469 K475 K477 K479:K481">
    <cfRule type="cellIs" dxfId="29" priority="17" operator="equal">
      <formula>"No"</formula>
    </cfRule>
    <cfRule type="cellIs" dxfId="28" priority="18" operator="equal">
      <formula>"Yes"</formula>
    </cfRule>
  </conditionalFormatting>
  <conditionalFormatting sqref="L5:M482">
    <cfRule type="cellIs" dxfId="27" priority="15" operator="equal">
      <formula>"Partially"</formula>
    </cfRule>
  </conditionalFormatting>
  <dataValidations count="2">
    <dataValidation type="list" allowBlank="1" showInputMessage="1" showErrorMessage="1" sqref="L483:M522 L5:L482" xr:uid="{75072FD7-F096-4108-B5C5-2D67E9E0B078}">
      <formula1>"Yes, Partially, No"</formula1>
    </dataValidation>
    <dataValidation type="list" allowBlank="1" showInputMessage="1" showErrorMessage="1" sqref="K312 I316 K94:K97 K314 K6:K9 K443:K445 K18:K21 K23:K33 K12:K15 K36 K41:K47 K50 K63:K64 K68:K69 K56:K60 K73 K80 K85 K75:K76 K92 K87:K89 K101:K102 K104:K106 K110:K111 K120 K129:K136 K140 K115:K116 K146 K148:K152 K167 K172 K163:K164 K179:K181 K174:K177 K187:K190 K193 K199:K203 K206:K207 K209:K210 K214 K216 K220:K223 K225:K226 K230:K231 K183 K241:K245 K247:K248 K253 K256:K259 K261 K263 K268 K270 K235 K280:K281 K288:K289 K292:K299 K306:K310 K276 K319 K321:K324 K328:K333 K335 K316 K338:K343 K354:K357 K359 K361 K363 K373:K374 K377 K347 K402:K405 K407 K410 K412 K383 K417:K420 K414 K423 K432 K434 K437 K439:K441 K429 K451 K453 K459 K462 K466:K469 K475 K477 K483:K522 K479:K481" xr:uid="{B6384DB8-15BD-4048-84BD-E9F2FD1444E2}">
      <formula1>"Yes, Under Development, No"</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B0AB-9562-421F-B8A5-7B675E6D7345}">
  <dimension ref="A1:T482"/>
  <sheetViews>
    <sheetView showGridLines="0" zoomScale="55" zoomScaleNormal="55" workbookViewId="0">
      <pane ySplit="4" topLeftCell="A319" activePane="bottomLeft" state="frozen"/>
      <selection activeCell="J119" sqref="J119"/>
      <selection pane="bottomLeft" activeCell="G320" sqref="G320"/>
    </sheetView>
  </sheetViews>
  <sheetFormatPr defaultColWidth="0" defaultRowHeight="14.4"/>
  <cols>
    <col min="1" max="1" width="24.33203125" customWidth="1"/>
    <col min="2" max="2" width="11.44140625" customWidth="1"/>
    <col min="3" max="3" width="11.6640625" style="43" customWidth="1"/>
    <col min="4" max="4" width="17.5546875" customWidth="1"/>
    <col min="5" max="5" width="12.5546875" customWidth="1"/>
    <col min="6" max="6" width="37.5546875" style="138" customWidth="1"/>
    <col min="7" max="7" width="77.33203125" customWidth="1"/>
    <col min="8" max="8" width="17.33203125" bestFit="1" customWidth="1"/>
    <col min="9" max="10" width="24.6640625" customWidth="1"/>
    <col min="11" max="11" width="19.77734375" customWidth="1"/>
    <col min="12" max="12" width="18.44140625" customWidth="1"/>
    <col min="13" max="13" width="29.44140625" hidden="1" customWidth="1"/>
    <col min="14" max="15" width="32" customWidth="1"/>
    <col min="16" max="16" width="26.6640625" style="138" customWidth="1"/>
    <col min="17" max="17" width="8.6640625" customWidth="1"/>
    <col min="21" max="16384" width="8.6640625" hidden="1"/>
  </cols>
  <sheetData>
    <row r="1" spans="1:16" ht="33.6" customHeight="1"/>
    <row r="2" spans="1:16" ht="33.6" customHeight="1"/>
    <row r="3" spans="1:16" ht="33.6" customHeight="1"/>
    <row r="4" spans="1:16" ht="26.4">
      <c r="A4" s="18" t="s">
        <v>2</v>
      </c>
      <c r="B4" s="19" t="s">
        <v>3</v>
      </c>
      <c r="C4" s="19" t="s">
        <v>4</v>
      </c>
      <c r="D4" s="19" t="s">
        <v>5</v>
      </c>
      <c r="E4" s="19" t="s">
        <v>6</v>
      </c>
      <c r="F4" s="19" t="s">
        <v>7</v>
      </c>
      <c r="G4" s="19" t="s">
        <v>8</v>
      </c>
      <c r="H4" s="19" t="s">
        <v>9</v>
      </c>
      <c r="I4" s="19" t="s">
        <v>10</v>
      </c>
      <c r="J4" s="19" t="s">
        <v>11</v>
      </c>
      <c r="K4" s="20" t="s">
        <v>2479</v>
      </c>
      <c r="L4" s="20" t="s">
        <v>12</v>
      </c>
      <c r="M4" s="55" t="s">
        <v>13</v>
      </c>
      <c r="N4" s="19" t="s">
        <v>14</v>
      </c>
      <c r="O4" s="21" t="s">
        <v>2486</v>
      </c>
      <c r="P4" s="21" t="s">
        <v>2570</v>
      </c>
    </row>
    <row r="5" spans="1:16" ht="41.4" hidden="1">
      <c r="A5" s="3" t="s">
        <v>15</v>
      </c>
      <c r="B5" s="3" t="s">
        <v>16</v>
      </c>
      <c r="C5" s="3" t="s">
        <v>17</v>
      </c>
      <c r="D5" s="6" t="s">
        <v>18</v>
      </c>
      <c r="E5" s="3">
        <v>1</v>
      </c>
      <c r="F5" s="4" t="s">
        <v>19</v>
      </c>
      <c r="G5" s="4" t="s">
        <v>20</v>
      </c>
      <c r="H5" s="11" t="s">
        <v>21</v>
      </c>
      <c r="I5" s="11" t="s">
        <v>21</v>
      </c>
      <c r="J5" s="11" t="s">
        <v>22</v>
      </c>
      <c r="K5" s="11" t="s">
        <v>21</v>
      </c>
      <c r="L5" s="5" t="s">
        <v>23</v>
      </c>
      <c r="M5" s="305"/>
      <c r="N5" s="308"/>
      <c r="O5" s="275" t="s">
        <v>2485</v>
      </c>
      <c r="P5" s="275" t="s">
        <v>2584</v>
      </c>
    </row>
    <row r="6" spans="1:16" ht="151.80000000000001" hidden="1">
      <c r="A6" s="3" t="s">
        <v>15</v>
      </c>
      <c r="B6" s="3" t="s">
        <v>16</v>
      </c>
      <c r="C6" s="3" t="s">
        <v>17</v>
      </c>
      <c r="D6" s="7" t="s">
        <v>24</v>
      </c>
      <c r="E6" s="3">
        <v>2</v>
      </c>
      <c r="F6" s="4" t="s">
        <v>25</v>
      </c>
      <c r="G6" s="4" t="s">
        <v>26</v>
      </c>
      <c r="H6" s="11" t="s">
        <v>27</v>
      </c>
      <c r="I6" s="11" t="s">
        <v>28</v>
      </c>
      <c r="J6" s="11" t="s">
        <v>29</v>
      </c>
      <c r="K6" s="5" t="s">
        <v>23</v>
      </c>
      <c r="L6" s="5" t="s">
        <v>23</v>
      </c>
      <c r="M6" s="305"/>
      <c r="N6" s="275" t="s">
        <v>2633</v>
      </c>
      <c r="O6" s="275" t="s">
        <v>2485</v>
      </c>
      <c r="P6" s="275" t="s">
        <v>2584</v>
      </c>
    </row>
    <row r="7" spans="1:16" ht="55.2" hidden="1">
      <c r="A7" s="3" t="s">
        <v>15</v>
      </c>
      <c r="B7" s="3" t="s">
        <v>16</v>
      </c>
      <c r="C7" s="3" t="s">
        <v>17</v>
      </c>
      <c r="D7" s="7" t="s">
        <v>24</v>
      </c>
      <c r="E7" s="3">
        <v>2</v>
      </c>
      <c r="F7" s="4" t="s">
        <v>32</v>
      </c>
      <c r="G7" s="4" t="s">
        <v>33</v>
      </c>
      <c r="H7" s="11" t="s">
        <v>27</v>
      </c>
      <c r="I7" s="11" t="s">
        <v>34</v>
      </c>
      <c r="J7" s="11" t="s">
        <v>35</v>
      </c>
      <c r="K7" s="5" t="s">
        <v>23</v>
      </c>
      <c r="L7" s="5" t="s">
        <v>23</v>
      </c>
      <c r="M7" s="305"/>
      <c r="N7" s="308"/>
      <c r="O7" s="275" t="s">
        <v>2487</v>
      </c>
      <c r="P7" s="275" t="s">
        <v>2584</v>
      </c>
    </row>
    <row r="8" spans="1:16" ht="82.8" hidden="1">
      <c r="A8" s="3" t="s">
        <v>15</v>
      </c>
      <c r="B8" s="3" t="s">
        <v>16</v>
      </c>
      <c r="C8" s="3" t="s">
        <v>17</v>
      </c>
      <c r="D8" s="7" t="s">
        <v>24</v>
      </c>
      <c r="E8" s="3">
        <v>2</v>
      </c>
      <c r="F8" s="4" t="s">
        <v>36</v>
      </c>
      <c r="G8" s="4" t="s">
        <v>37</v>
      </c>
      <c r="H8" s="11" t="s">
        <v>27</v>
      </c>
      <c r="I8" s="11" t="s">
        <v>38</v>
      </c>
      <c r="J8" s="11" t="s">
        <v>39</v>
      </c>
      <c r="K8" s="5" t="s">
        <v>23</v>
      </c>
      <c r="L8" s="5" t="s">
        <v>23</v>
      </c>
      <c r="M8" s="305">
        <v>1</v>
      </c>
      <c r="N8" s="275"/>
      <c r="O8" s="275" t="s">
        <v>2632</v>
      </c>
      <c r="P8" s="275" t="s">
        <v>2584</v>
      </c>
    </row>
    <row r="9" spans="1:16" ht="69" hidden="1">
      <c r="A9" s="3" t="s">
        <v>15</v>
      </c>
      <c r="B9" s="3" t="s">
        <v>16</v>
      </c>
      <c r="C9" s="3" t="s">
        <v>17</v>
      </c>
      <c r="D9" s="8" t="s">
        <v>40</v>
      </c>
      <c r="E9" s="3">
        <v>3</v>
      </c>
      <c r="F9" s="194" t="s">
        <v>41</v>
      </c>
      <c r="G9" s="4" t="s">
        <v>42</v>
      </c>
      <c r="H9" s="11" t="s">
        <v>27</v>
      </c>
      <c r="I9" s="11" t="s">
        <v>43</v>
      </c>
      <c r="J9" s="11" t="s">
        <v>44</v>
      </c>
      <c r="K9" s="5" t="s">
        <v>23</v>
      </c>
      <c r="L9" s="5" t="s">
        <v>23</v>
      </c>
      <c r="M9" s="305"/>
      <c r="N9" s="275" t="s">
        <v>2613</v>
      </c>
      <c r="O9" s="275" t="s">
        <v>2488</v>
      </c>
      <c r="P9" s="275" t="s">
        <v>2584</v>
      </c>
    </row>
    <row r="10" spans="1:16" ht="151.80000000000001" hidden="1">
      <c r="A10" s="3" t="s">
        <v>15</v>
      </c>
      <c r="B10" s="3" t="s">
        <v>16</v>
      </c>
      <c r="C10" s="3" t="s">
        <v>17</v>
      </c>
      <c r="D10" s="8" t="s">
        <v>40</v>
      </c>
      <c r="E10" s="3">
        <v>3</v>
      </c>
      <c r="F10" s="4" t="s">
        <v>45</v>
      </c>
      <c r="G10" s="4" t="s">
        <v>46</v>
      </c>
      <c r="H10" s="11" t="s">
        <v>21</v>
      </c>
      <c r="I10" s="11" t="s">
        <v>21</v>
      </c>
      <c r="J10" s="11" t="s">
        <v>47</v>
      </c>
      <c r="K10" s="11" t="s">
        <v>21</v>
      </c>
      <c r="L10" s="5" t="s">
        <v>31</v>
      </c>
      <c r="M10" s="305"/>
      <c r="N10" s="309"/>
      <c r="O10" s="309"/>
      <c r="P10" s="275" t="s">
        <v>2584</v>
      </c>
    </row>
    <row r="11" spans="1:16" ht="345" hidden="1">
      <c r="A11" s="3" t="s">
        <v>15</v>
      </c>
      <c r="B11" s="3" t="s">
        <v>16</v>
      </c>
      <c r="C11" s="3" t="s">
        <v>17</v>
      </c>
      <c r="D11" s="9" t="s">
        <v>48</v>
      </c>
      <c r="E11" s="3">
        <v>4</v>
      </c>
      <c r="F11" s="4" t="s">
        <v>49</v>
      </c>
      <c r="G11" s="4" t="s">
        <v>50</v>
      </c>
      <c r="H11" s="11" t="s">
        <v>21</v>
      </c>
      <c r="I11" s="11" t="s">
        <v>21</v>
      </c>
      <c r="J11" s="11" t="s">
        <v>51</v>
      </c>
      <c r="K11" s="11" t="s">
        <v>21</v>
      </c>
      <c r="L11" s="5" t="s">
        <v>31</v>
      </c>
      <c r="M11" s="305"/>
      <c r="N11" s="309"/>
      <c r="O11" s="309"/>
      <c r="P11" s="275" t="s">
        <v>2584</v>
      </c>
    </row>
    <row r="12" spans="1:16" ht="110.4" hidden="1">
      <c r="A12" s="3" t="s">
        <v>15</v>
      </c>
      <c r="B12" s="3" t="s">
        <v>16</v>
      </c>
      <c r="C12" s="3" t="s">
        <v>17</v>
      </c>
      <c r="D12" s="10" t="s">
        <v>52</v>
      </c>
      <c r="E12" s="3">
        <v>5</v>
      </c>
      <c r="F12" s="34" t="s">
        <v>53</v>
      </c>
      <c r="G12" s="4" t="s">
        <v>54</v>
      </c>
      <c r="H12" s="11" t="s">
        <v>55</v>
      </c>
      <c r="I12" s="11" t="s">
        <v>56</v>
      </c>
      <c r="J12" s="11" t="s">
        <v>57</v>
      </c>
      <c r="K12" s="5" t="s">
        <v>31</v>
      </c>
      <c r="L12" s="5" t="s">
        <v>31</v>
      </c>
      <c r="M12" s="305"/>
      <c r="N12" s="275"/>
      <c r="O12" s="275"/>
      <c r="P12" s="275" t="s">
        <v>2584</v>
      </c>
    </row>
    <row r="13" spans="1:16" ht="138" hidden="1" customHeight="1">
      <c r="A13" s="3" t="s">
        <v>15</v>
      </c>
      <c r="B13" s="3" t="s">
        <v>16</v>
      </c>
      <c r="C13" s="3" t="s">
        <v>17</v>
      </c>
      <c r="D13" s="10" t="s">
        <v>52</v>
      </c>
      <c r="E13" s="3">
        <v>5</v>
      </c>
      <c r="F13" s="34" t="s">
        <v>58</v>
      </c>
      <c r="G13" s="4" t="s">
        <v>59</v>
      </c>
      <c r="H13" s="11" t="s">
        <v>55</v>
      </c>
      <c r="I13" s="11" t="s">
        <v>60</v>
      </c>
      <c r="J13" s="11" t="s">
        <v>61</v>
      </c>
      <c r="K13" s="5" t="s">
        <v>30</v>
      </c>
      <c r="L13" s="5" t="s">
        <v>2572</v>
      </c>
      <c r="M13" s="305"/>
      <c r="N13" s="275" t="s">
        <v>2576</v>
      </c>
      <c r="O13" s="275"/>
      <c r="P13" s="275" t="s">
        <v>2584</v>
      </c>
    </row>
    <row r="14" spans="1:16" ht="151.80000000000001" hidden="1">
      <c r="A14" s="3" t="s">
        <v>15</v>
      </c>
      <c r="B14" s="3" t="s">
        <v>16</v>
      </c>
      <c r="C14" s="3" t="s">
        <v>62</v>
      </c>
      <c r="D14" s="6" t="s">
        <v>18</v>
      </c>
      <c r="E14" s="3">
        <v>1</v>
      </c>
      <c r="F14" s="4" t="s">
        <v>63</v>
      </c>
      <c r="G14" s="4" t="s">
        <v>64</v>
      </c>
      <c r="H14" s="11" t="s">
        <v>27</v>
      </c>
      <c r="I14" s="11" t="s">
        <v>65</v>
      </c>
      <c r="J14" s="11" t="s">
        <v>66</v>
      </c>
      <c r="K14" s="5" t="s">
        <v>23</v>
      </c>
      <c r="L14" s="5" t="s">
        <v>23</v>
      </c>
      <c r="M14" s="305"/>
      <c r="N14" s="309" t="s">
        <v>2610</v>
      </c>
      <c r="O14" s="309" t="s">
        <v>2609</v>
      </c>
      <c r="P14" s="275" t="s">
        <v>2584</v>
      </c>
    </row>
    <row r="15" spans="1:16" ht="303.60000000000002" hidden="1">
      <c r="A15" s="3" t="s">
        <v>15</v>
      </c>
      <c r="B15" s="3" t="s">
        <v>16</v>
      </c>
      <c r="C15" s="3" t="s">
        <v>62</v>
      </c>
      <c r="D15" s="7" t="s">
        <v>24</v>
      </c>
      <c r="E15" s="3">
        <v>2</v>
      </c>
      <c r="F15" s="4" t="s">
        <v>67</v>
      </c>
      <c r="G15" s="4" t="s">
        <v>68</v>
      </c>
      <c r="H15" s="11" t="s">
        <v>27</v>
      </c>
      <c r="I15" s="11" t="s">
        <v>69</v>
      </c>
      <c r="J15" s="11" t="s">
        <v>70</v>
      </c>
      <c r="K15" s="5" t="s">
        <v>30</v>
      </c>
      <c r="L15" s="5" t="s">
        <v>2572</v>
      </c>
      <c r="M15" s="305"/>
      <c r="N15" s="309" t="s">
        <v>2571</v>
      </c>
      <c r="O15" s="309"/>
      <c r="P15" s="275" t="s">
        <v>2584</v>
      </c>
    </row>
    <row r="16" spans="1:16" ht="41.4" hidden="1">
      <c r="A16" s="3" t="s">
        <v>15</v>
      </c>
      <c r="B16" s="3" t="s">
        <v>16</v>
      </c>
      <c r="C16" s="3" t="s">
        <v>62</v>
      </c>
      <c r="D16" s="8" t="s">
        <v>40</v>
      </c>
      <c r="E16" s="3">
        <v>3</v>
      </c>
      <c r="F16" s="4" t="s">
        <v>71</v>
      </c>
      <c r="G16" s="4" t="s">
        <v>72</v>
      </c>
      <c r="H16" s="11" t="s">
        <v>21</v>
      </c>
      <c r="I16" s="11" t="s">
        <v>21</v>
      </c>
      <c r="J16" s="11" t="s">
        <v>73</v>
      </c>
      <c r="K16" s="11" t="s">
        <v>21</v>
      </c>
      <c r="L16" s="5" t="s">
        <v>31</v>
      </c>
      <c r="M16" s="305"/>
      <c r="N16" s="309"/>
      <c r="O16" s="309"/>
      <c r="P16" s="275" t="s">
        <v>2584</v>
      </c>
    </row>
    <row r="17" spans="1:16" ht="82.8" hidden="1">
      <c r="A17" s="3" t="s">
        <v>15</v>
      </c>
      <c r="B17" s="3" t="s">
        <v>16</v>
      </c>
      <c r="C17" s="3" t="s">
        <v>62</v>
      </c>
      <c r="D17" s="8" t="s">
        <v>40</v>
      </c>
      <c r="E17" s="3">
        <v>3</v>
      </c>
      <c r="F17" s="4" t="s">
        <v>74</v>
      </c>
      <c r="G17" s="4" t="s">
        <v>75</v>
      </c>
      <c r="H17" s="11" t="s">
        <v>21</v>
      </c>
      <c r="I17" s="11" t="s">
        <v>21</v>
      </c>
      <c r="J17" s="11" t="s">
        <v>76</v>
      </c>
      <c r="K17" s="11" t="s">
        <v>21</v>
      </c>
      <c r="L17" s="5" t="s">
        <v>31</v>
      </c>
      <c r="M17" s="305"/>
      <c r="N17" s="309"/>
      <c r="O17" s="309"/>
      <c r="P17" s="275" t="s">
        <v>2584</v>
      </c>
    </row>
    <row r="18" spans="1:16" ht="140.55000000000001" hidden="1" customHeight="1">
      <c r="A18" s="3" t="s">
        <v>15</v>
      </c>
      <c r="B18" s="3" t="s">
        <v>16</v>
      </c>
      <c r="C18" s="3" t="s">
        <v>62</v>
      </c>
      <c r="D18" s="8" t="s">
        <v>40</v>
      </c>
      <c r="E18" s="3">
        <v>3</v>
      </c>
      <c r="F18" s="4" t="s">
        <v>77</v>
      </c>
      <c r="G18" s="4" t="s">
        <v>78</v>
      </c>
      <c r="H18" s="11" t="s">
        <v>55</v>
      </c>
      <c r="I18" s="11" t="s">
        <v>79</v>
      </c>
      <c r="J18" s="11" t="s">
        <v>80</v>
      </c>
      <c r="K18" s="5" t="s">
        <v>30</v>
      </c>
      <c r="L18" s="5" t="s">
        <v>2572</v>
      </c>
      <c r="M18" s="305"/>
      <c r="N18" s="309" t="s">
        <v>2574</v>
      </c>
      <c r="O18" s="309"/>
      <c r="P18" s="275" t="s">
        <v>2584</v>
      </c>
    </row>
    <row r="19" spans="1:16" ht="386.4" hidden="1">
      <c r="A19" s="3" t="s">
        <v>15</v>
      </c>
      <c r="B19" s="3" t="s">
        <v>16</v>
      </c>
      <c r="C19" s="3" t="s">
        <v>62</v>
      </c>
      <c r="D19" s="9" t="s">
        <v>48</v>
      </c>
      <c r="E19" s="3">
        <v>4</v>
      </c>
      <c r="F19" s="4" t="s">
        <v>81</v>
      </c>
      <c r="G19" s="4" t="s">
        <v>82</v>
      </c>
      <c r="H19" s="11" t="s">
        <v>55</v>
      </c>
      <c r="I19" s="11" t="s">
        <v>83</v>
      </c>
      <c r="J19" s="11" t="s">
        <v>84</v>
      </c>
      <c r="K19" s="5" t="s">
        <v>30</v>
      </c>
      <c r="L19" s="5" t="s">
        <v>2572</v>
      </c>
      <c r="M19" s="305">
        <v>1</v>
      </c>
      <c r="N19" s="309" t="s">
        <v>2576</v>
      </c>
      <c r="O19" s="309"/>
      <c r="P19" s="275" t="s">
        <v>2584</v>
      </c>
    </row>
    <row r="20" spans="1:16" ht="151.80000000000001" hidden="1">
      <c r="A20" s="3" t="s">
        <v>15</v>
      </c>
      <c r="B20" s="3" t="s">
        <v>16</v>
      </c>
      <c r="C20" s="3" t="s">
        <v>62</v>
      </c>
      <c r="D20" s="9" t="s">
        <v>48</v>
      </c>
      <c r="E20" s="3">
        <v>4</v>
      </c>
      <c r="F20" s="4" t="s">
        <v>85</v>
      </c>
      <c r="G20" s="4" t="s">
        <v>86</v>
      </c>
      <c r="H20" s="11" t="s">
        <v>55</v>
      </c>
      <c r="I20" s="15" t="s">
        <v>87</v>
      </c>
      <c r="J20" s="15" t="s">
        <v>88</v>
      </c>
      <c r="K20" s="5" t="s">
        <v>23</v>
      </c>
      <c r="L20" s="5" t="s">
        <v>23</v>
      </c>
      <c r="M20" s="305"/>
      <c r="N20" s="275"/>
      <c r="O20" s="275" t="s">
        <v>2489</v>
      </c>
      <c r="P20" s="275" t="s">
        <v>2584</v>
      </c>
    </row>
    <row r="21" spans="1:16" ht="82.8" hidden="1">
      <c r="A21" s="3" t="s">
        <v>15</v>
      </c>
      <c r="B21" s="3" t="s">
        <v>16</v>
      </c>
      <c r="C21" s="3" t="s">
        <v>62</v>
      </c>
      <c r="D21" s="9" t="s">
        <v>48</v>
      </c>
      <c r="E21" s="3">
        <v>4</v>
      </c>
      <c r="F21" s="4" t="s">
        <v>89</v>
      </c>
      <c r="G21" s="4" t="s">
        <v>90</v>
      </c>
      <c r="H21" s="11" t="s">
        <v>55</v>
      </c>
      <c r="I21" s="15" t="s">
        <v>91</v>
      </c>
      <c r="J21" s="15" t="s">
        <v>92</v>
      </c>
      <c r="K21" s="5" t="s">
        <v>30</v>
      </c>
      <c r="L21" s="5" t="s">
        <v>23</v>
      </c>
      <c r="M21" s="305"/>
      <c r="N21" s="309" t="s">
        <v>2575</v>
      </c>
      <c r="O21" s="309" t="s">
        <v>2489</v>
      </c>
      <c r="P21" s="275" t="s">
        <v>2584</v>
      </c>
    </row>
    <row r="22" spans="1:16" ht="138" hidden="1">
      <c r="A22" s="3" t="s">
        <v>15</v>
      </c>
      <c r="B22" s="3" t="s">
        <v>16</v>
      </c>
      <c r="C22" s="3" t="s">
        <v>62</v>
      </c>
      <c r="D22" s="10" t="s">
        <v>52</v>
      </c>
      <c r="E22" s="3">
        <v>5</v>
      </c>
      <c r="F22" s="4" t="s">
        <v>93</v>
      </c>
      <c r="G22" s="4" t="s">
        <v>94</v>
      </c>
      <c r="H22" s="11" t="s">
        <v>21</v>
      </c>
      <c r="I22" s="11" t="s">
        <v>21</v>
      </c>
      <c r="J22" s="11" t="s">
        <v>95</v>
      </c>
      <c r="K22" s="11" t="s">
        <v>21</v>
      </c>
      <c r="L22" s="5" t="s">
        <v>31</v>
      </c>
      <c r="M22" s="305"/>
      <c r="N22" s="309"/>
      <c r="O22" s="309"/>
      <c r="P22" s="275" t="s">
        <v>2584</v>
      </c>
    </row>
    <row r="23" spans="1:16" ht="96.6" hidden="1">
      <c r="A23" s="3" t="s">
        <v>15</v>
      </c>
      <c r="B23" s="3" t="s">
        <v>16</v>
      </c>
      <c r="C23" s="3" t="s">
        <v>96</v>
      </c>
      <c r="D23" s="6" t="s">
        <v>18</v>
      </c>
      <c r="E23" s="3">
        <v>1</v>
      </c>
      <c r="F23" s="4" t="s">
        <v>97</v>
      </c>
      <c r="G23" s="4" t="s">
        <v>98</v>
      </c>
      <c r="H23" s="11" t="s">
        <v>27</v>
      </c>
      <c r="I23" s="15" t="s">
        <v>99</v>
      </c>
      <c r="J23" s="15" t="s">
        <v>100</v>
      </c>
      <c r="K23" s="5" t="s">
        <v>23</v>
      </c>
      <c r="L23" s="5" t="s">
        <v>23</v>
      </c>
      <c r="M23" s="305"/>
      <c r="N23" s="310" t="s">
        <v>2606</v>
      </c>
      <c r="O23" s="311" t="s">
        <v>2490</v>
      </c>
      <c r="P23" s="275" t="s">
        <v>2584</v>
      </c>
    </row>
    <row r="24" spans="1:16" ht="151.80000000000001" hidden="1">
      <c r="A24" s="3" t="s">
        <v>15</v>
      </c>
      <c r="B24" s="3" t="s">
        <v>16</v>
      </c>
      <c r="C24" s="3" t="s">
        <v>96</v>
      </c>
      <c r="D24" s="6" t="s">
        <v>18</v>
      </c>
      <c r="E24" s="3">
        <v>1</v>
      </c>
      <c r="F24" s="4" t="s">
        <v>101</v>
      </c>
      <c r="G24" s="4" t="s">
        <v>102</v>
      </c>
      <c r="H24" s="11" t="s">
        <v>27</v>
      </c>
      <c r="I24" s="15" t="s">
        <v>103</v>
      </c>
      <c r="J24" s="15" t="s">
        <v>104</v>
      </c>
      <c r="K24" s="5" t="s">
        <v>30</v>
      </c>
      <c r="L24" s="5" t="s">
        <v>2572</v>
      </c>
      <c r="M24" s="305"/>
      <c r="N24" s="309" t="s">
        <v>2634</v>
      </c>
      <c r="O24" s="309" t="s">
        <v>2491</v>
      </c>
      <c r="P24" s="275" t="s">
        <v>2584</v>
      </c>
    </row>
    <row r="25" spans="1:16" ht="110.4" hidden="1">
      <c r="A25" s="3" t="s">
        <v>15</v>
      </c>
      <c r="B25" s="3" t="s">
        <v>16</v>
      </c>
      <c r="C25" s="3" t="s">
        <v>96</v>
      </c>
      <c r="D25" s="6" t="s">
        <v>18</v>
      </c>
      <c r="E25" s="3">
        <v>1</v>
      </c>
      <c r="F25" s="4" t="s">
        <v>105</v>
      </c>
      <c r="G25" s="4" t="s">
        <v>106</v>
      </c>
      <c r="H25" s="11" t="s">
        <v>27</v>
      </c>
      <c r="I25" s="15" t="s">
        <v>107</v>
      </c>
      <c r="J25" s="15" t="s">
        <v>108</v>
      </c>
      <c r="K25" s="5" t="s">
        <v>23</v>
      </c>
      <c r="L25" s="5" t="s">
        <v>23</v>
      </c>
      <c r="M25" s="305"/>
      <c r="N25" s="310"/>
      <c r="O25" s="310" t="s">
        <v>2492</v>
      </c>
      <c r="P25" s="275" t="s">
        <v>2584</v>
      </c>
    </row>
    <row r="26" spans="1:16" ht="110.4" hidden="1">
      <c r="A26" s="3" t="s">
        <v>15</v>
      </c>
      <c r="B26" s="3" t="s">
        <v>16</v>
      </c>
      <c r="C26" s="3" t="s">
        <v>96</v>
      </c>
      <c r="D26" s="7" t="s">
        <v>24</v>
      </c>
      <c r="E26" s="3">
        <v>2</v>
      </c>
      <c r="F26" s="4" t="s">
        <v>109</v>
      </c>
      <c r="G26" s="4" t="s">
        <v>110</v>
      </c>
      <c r="H26" s="11" t="s">
        <v>27</v>
      </c>
      <c r="I26" s="15" t="s">
        <v>111</v>
      </c>
      <c r="J26" s="15" t="s">
        <v>112</v>
      </c>
      <c r="K26" s="5" t="s">
        <v>23</v>
      </c>
      <c r="L26" s="5" t="s">
        <v>23</v>
      </c>
      <c r="M26" s="305"/>
      <c r="N26" s="309"/>
      <c r="O26" s="309" t="s">
        <v>2493</v>
      </c>
      <c r="P26" s="275" t="s">
        <v>2584</v>
      </c>
    </row>
    <row r="27" spans="1:16" ht="82.8" hidden="1">
      <c r="A27" s="3" t="s">
        <v>15</v>
      </c>
      <c r="B27" s="3" t="s">
        <v>16</v>
      </c>
      <c r="C27" s="3" t="s">
        <v>96</v>
      </c>
      <c r="D27" s="7" t="s">
        <v>24</v>
      </c>
      <c r="E27" s="3">
        <v>2</v>
      </c>
      <c r="F27" s="4" t="s">
        <v>113</v>
      </c>
      <c r="G27" s="4" t="s">
        <v>114</v>
      </c>
      <c r="H27" s="11" t="s">
        <v>27</v>
      </c>
      <c r="I27" s="15" t="s">
        <v>115</v>
      </c>
      <c r="J27" s="15" t="s">
        <v>116</v>
      </c>
      <c r="K27" s="5" t="s">
        <v>23</v>
      </c>
      <c r="L27" s="5" t="s">
        <v>23</v>
      </c>
      <c r="M27" s="305"/>
      <c r="N27" s="309"/>
      <c r="O27" s="309" t="s">
        <v>2494</v>
      </c>
      <c r="P27" s="275" t="s">
        <v>2584</v>
      </c>
    </row>
    <row r="28" spans="1:16" ht="96.6" hidden="1">
      <c r="A28" s="3" t="s">
        <v>15</v>
      </c>
      <c r="B28" s="3" t="s">
        <v>16</v>
      </c>
      <c r="C28" s="3" t="s">
        <v>96</v>
      </c>
      <c r="D28" s="7" t="s">
        <v>24</v>
      </c>
      <c r="E28" s="3">
        <v>2</v>
      </c>
      <c r="F28" s="4" t="s">
        <v>117</v>
      </c>
      <c r="G28" s="4" t="s">
        <v>118</v>
      </c>
      <c r="H28" s="11" t="s">
        <v>27</v>
      </c>
      <c r="I28" s="15" t="s">
        <v>119</v>
      </c>
      <c r="J28" s="15" t="s">
        <v>120</v>
      </c>
      <c r="K28" s="5" t="s">
        <v>23</v>
      </c>
      <c r="L28" s="5" t="s">
        <v>23</v>
      </c>
      <c r="M28" s="305"/>
      <c r="N28" s="309" t="s">
        <v>2630</v>
      </c>
      <c r="O28" s="309" t="s">
        <v>2631</v>
      </c>
      <c r="P28" s="275" t="s">
        <v>2584</v>
      </c>
    </row>
    <row r="29" spans="1:16" ht="82.8" hidden="1">
      <c r="A29" s="3" t="s">
        <v>15</v>
      </c>
      <c r="B29" s="3" t="s">
        <v>16</v>
      </c>
      <c r="C29" s="3" t="s">
        <v>96</v>
      </c>
      <c r="D29" s="7" t="s">
        <v>24</v>
      </c>
      <c r="E29" s="3">
        <v>2</v>
      </c>
      <c r="F29" s="4" t="s">
        <v>121</v>
      </c>
      <c r="G29" s="4" t="s">
        <v>122</v>
      </c>
      <c r="H29" s="11" t="s">
        <v>27</v>
      </c>
      <c r="I29" s="15" t="s">
        <v>123</v>
      </c>
      <c r="J29" s="15" t="s">
        <v>124</v>
      </c>
      <c r="K29" s="5" t="s">
        <v>23</v>
      </c>
      <c r="L29" s="5" t="s">
        <v>23</v>
      </c>
      <c r="M29" s="305"/>
      <c r="N29" s="309" t="s">
        <v>2636</v>
      </c>
      <c r="O29" s="309" t="s">
        <v>2495</v>
      </c>
      <c r="P29" s="275" t="s">
        <v>2584</v>
      </c>
    </row>
    <row r="30" spans="1:16" ht="138" hidden="1">
      <c r="A30" s="3" t="s">
        <v>15</v>
      </c>
      <c r="B30" s="3" t="s">
        <v>16</v>
      </c>
      <c r="C30" s="3" t="s">
        <v>96</v>
      </c>
      <c r="D30" s="8" t="s">
        <v>40</v>
      </c>
      <c r="E30" s="3">
        <v>3</v>
      </c>
      <c r="F30" s="4" t="s">
        <v>125</v>
      </c>
      <c r="G30" s="4" t="s">
        <v>126</v>
      </c>
      <c r="H30" s="11" t="s">
        <v>27</v>
      </c>
      <c r="I30" s="15" t="s">
        <v>127</v>
      </c>
      <c r="J30" s="15" t="s">
        <v>128</v>
      </c>
      <c r="K30" s="5" t="s">
        <v>30</v>
      </c>
      <c r="L30" s="5" t="s">
        <v>2572</v>
      </c>
      <c r="M30" s="305"/>
      <c r="N30" s="309" t="s">
        <v>2629</v>
      </c>
      <c r="O30" s="309" t="s">
        <v>2611</v>
      </c>
      <c r="P30" s="275" t="s">
        <v>2584</v>
      </c>
    </row>
    <row r="31" spans="1:16" ht="69" hidden="1">
      <c r="A31" s="3" t="s">
        <v>15</v>
      </c>
      <c r="B31" s="3" t="s">
        <v>16</v>
      </c>
      <c r="C31" s="3" t="s">
        <v>96</v>
      </c>
      <c r="D31" s="8" t="s">
        <v>40</v>
      </c>
      <c r="E31" s="3">
        <v>3</v>
      </c>
      <c r="F31" s="4" t="s">
        <v>129</v>
      </c>
      <c r="G31" s="4" t="s">
        <v>130</v>
      </c>
      <c r="H31" s="11" t="s">
        <v>27</v>
      </c>
      <c r="I31" s="15" t="s">
        <v>131</v>
      </c>
      <c r="J31" s="15" t="s">
        <v>132</v>
      </c>
      <c r="K31" s="5" t="s">
        <v>30</v>
      </c>
      <c r="L31" s="5" t="s">
        <v>2572</v>
      </c>
      <c r="M31" s="305"/>
      <c r="N31" s="310" t="s">
        <v>2573</v>
      </c>
      <c r="O31" s="309" t="s">
        <v>2611</v>
      </c>
      <c r="P31" s="275" t="s">
        <v>2584</v>
      </c>
    </row>
    <row r="32" spans="1:16" ht="110.4" hidden="1">
      <c r="A32" s="3" t="s">
        <v>15</v>
      </c>
      <c r="B32" s="3" t="s">
        <v>16</v>
      </c>
      <c r="C32" s="3" t="s">
        <v>96</v>
      </c>
      <c r="D32" s="8" t="s">
        <v>40</v>
      </c>
      <c r="E32" s="3">
        <v>3</v>
      </c>
      <c r="F32" s="4" t="s">
        <v>133</v>
      </c>
      <c r="G32" s="4" t="s">
        <v>134</v>
      </c>
      <c r="H32" s="11" t="s">
        <v>27</v>
      </c>
      <c r="I32" s="15" t="s">
        <v>135</v>
      </c>
      <c r="J32" s="15" t="s">
        <v>136</v>
      </c>
      <c r="K32" s="5" t="s">
        <v>23</v>
      </c>
      <c r="L32" s="5" t="s">
        <v>23</v>
      </c>
      <c r="M32" s="305"/>
      <c r="N32" s="309" t="s">
        <v>2628</v>
      </c>
      <c r="O32" s="309" t="s">
        <v>2496</v>
      </c>
      <c r="P32" s="275" t="s">
        <v>2584</v>
      </c>
    </row>
    <row r="33" spans="1:16" ht="151.80000000000001" hidden="1">
      <c r="A33" s="3" t="s">
        <v>15</v>
      </c>
      <c r="B33" s="3" t="s">
        <v>16</v>
      </c>
      <c r="C33" s="3" t="s">
        <v>96</v>
      </c>
      <c r="D33" s="8" t="s">
        <v>40</v>
      </c>
      <c r="E33" s="3">
        <v>3</v>
      </c>
      <c r="F33" s="34" t="s">
        <v>137</v>
      </c>
      <c r="G33" s="4" t="s">
        <v>138</v>
      </c>
      <c r="H33" s="11" t="s">
        <v>27</v>
      </c>
      <c r="I33" s="15" t="s">
        <v>139</v>
      </c>
      <c r="J33" s="15" t="s">
        <v>140</v>
      </c>
      <c r="K33" s="5" t="s">
        <v>30</v>
      </c>
      <c r="L33" s="5" t="s">
        <v>2572</v>
      </c>
      <c r="M33" s="305"/>
      <c r="N33" s="309" t="s">
        <v>2635</v>
      </c>
      <c r="O33" s="309" t="s">
        <v>2497</v>
      </c>
      <c r="P33" s="275" t="s">
        <v>2584</v>
      </c>
    </row>
    <row r="34" spans="1:16" ht="69" hidden="1">
      <c r="A34" s="3" t="s">
        <v>15</v>
      </c>
      <c r="B34" s="3" t="s">
        <v>16</v>
      </c>
      <c r="C34" s="3" t="s">
        <v>96</v>
      </c>
      <c r="D34" s="8" t="s">
        <v>40</v>
      </c>
      <c r="E34" s="3">
        <v>3</v>
      </c>
      <c r="F34" s="4" t="s">
        <v>141</v>
      </c>
      <c r="G34" s="4" t="s">
        <v>142</v>
      </c>
      <c r="H34" s="11" t="s">
        <v>21</v>
      </c>
      <c r="I34" s="11" t="s">
        <v>21</v>
      </c>
      <c r="J34" s="11" t="s">
        <v>143</v>
      </c>
      <c r="K34" s="11" t="s">
        <v>21</v>
      </c>
      <c r="L34" s="5" t="s">
        <v>31</v>
      </c>
      <c r="M34" s="305"/>
      <c r="N34" s="275"/>
      <c r="O34" s="275"/>
      <c r="P34" s="275" t="s">
        <v>2584</v>
      </c>
    </row>
    <row r="35" spans="1:16" ht="96.6" hidden="1">
      <c r="A35" s="3" t="s">
        <v>15</v>
      </c>
      <c r="B35" s="3" t="s">
        <v>16</v>
      </c>
      <c r="C35" s="3" t="s">
        <v>96</v>
      </c>
      <c r="D35" s="8" t="s">
        <v>40</v>
      </c>
      <c r="E35" s="3">
        <v>3</v>
      </c>
      <c r="F35" s="4" t="s">
        <v>144</v>
      </c>
      <c r="G35" s="4" t="s">
        <v>145</v>
      </c>
      <c r="H35" s="11" t="s">
        <v>21</v>
      </c>
      <c r="I35" s="11" t="s">
        <v>21</v>
      </c>
      <c r="J35" s="11" t="s">
        <v>146</v>
      </c>
      <c r="K35" s="11" t="s">
        <v>21</v>
      </c>
      <c r="L35" s="5" t="s">
        <v>31</v>
      </c>
      <c r="M35" s="305"/>
      <c r="N35" s="309"/>
      <c r="O35" s="309"/>
      <c r="P35" s="275" t="s">
        <v>2584</v>
      </c>
    </row>
    <row r="36" spans="1:16" ht="372.6" hidden="1">
      <c r="A36" s="3" t="s">
        <v>15</v>
      </c>
      <c r="B36" s="3" t="s">
        <v>16</v>
      </c>
      <c r="C36" s="3" t="s">
        <v>96</v>
      </c>
      <c r="D36" s="9" t="s">
        <v>48</v>
      </c>
      <c r="E36" s="3">
        <v>4</v>
      </c>
      <c r="F36" s="4" t="s">
        <v>147</v>
      </c>
      <c r="G36" s="4" t="s">
        <v>148</v>
      </c>
      <c r="H36" s="11" t="s">
        <v>55</v>
      </c>
      <c r="I36" s="15" t="s">
        <v>149</v>
      </c>
      <c r="J36" s="15" t="s">
        <v>150</v>
      </c>
      <c r="K36" s="5" t="s">
        <v>30</v>
      </c>
      <c r="L36" s="5" t="s">
        <v>2572</v>
      </c>
      <c r="M36" s="305">
        <v>1</v>
      </c>
      <c r="N36" s="309" t="s">
        <v>2576</v>
      </c>
      <c r="O36" s="309"/>
      <c r="P36" s="275" t="s">
        <v>2584</v>
      </c>
    </row>
    <row r="37" spans="1:16" ht="110.4" hidden="1">
      <c r="A37" s="3" t="s">
        <v>15</v>
      </c>
      <c r="B37" s="3" t="s">
        <v>16</v>
      </c>
      <c r="C37" s="3" t="s">
        <v>96</v>
      </c>
      <c r="D37" s="10" t="s">
        <v>52</v>
      </c>
      <c r="E37" s="3">
        <v>5</v>
      </c>
      <c r="F37" s="4" t="s">
        <v>151</v>
      </c>
      <c r="G37" s="4" t="s">
        <v>152</v>
      </c>
      <c r="H37" s="11" t="s">
        <v>21</v>
      </c>
      <c r="I37" s="15" t="s">
        <v>21</v>
      </c>
      <c r="J37" s="15" t="s">
        <v>153</v>
      </c>
      <c r="K37" s="11" t="s">
        <v>21</v>
      </c>
      <c r="L37" s="5" t="s">
        <v>31</v>
      </c>
      <c r="M37" s="305"/>
      <c r="N37" s="309"/>
      <c r="O37" s="309"/>
      <c r="P37" s="275" t="s">
        <v>2584</v>
      </c>
    </row>
    <row r="38" spans="1:16" ht="96.6" hidden="1">
      <c r="A38" s="3" t="s">
        <v>15</v>
      </c>
      <c r="B38" s="3" t="s">
        <v>16</v>
      </c>
      <c r="C38" s="3" t="s">
        <v>154</v>
      </c>
      <c r="D38" s="6" t="s">
        <v>18</v>
      </c>
      <c r="E38" s="3">
        <v>1</v>
      </c>
      <c r="F38" s="4" t="s">
        <v>155</v>
      </c>
      <c r="G38" s="4" t="s">
        <v>156</v>
      </c>
      <c r="H38" s="11" t="s">
        <v>21</v>
      </c>
      <c r="I38" s="11" t="s">
        <v>21</v>
      </c>
      <c r="J38" s="11" t="s">
        <v>157</v>
      </c>
      <c r="K38" s="11" t="s">
        <v>21</v>
      </c>
      <c r="L38" s="5" t="s">
        <v>23</v>
      </c>
      <c r="M38" s="305"/>
      <c r="N38" s="309"/>
      <c r="O38" s="309" t="s">
        <v>2498</v>
      </c>
      <c r="P38" s="275" t="s">
        <v>2584</v>
      </c>
    </row>
    <row r="39" spans="1:16" ht="82.8" hidden="1">
      <c r="A39" s="3" t="s">
        <v>15</v>
      </c>
      <c r="B39" s="3" t="s">
        <v>16</v>
      </c>
      <c r="C39" s="3" t="s">
        <v>154</v>
      </c>
      <c r="D39" s="6" t="s">
        <v>18</v>
      </c>
      <c r="E39" s="3">
        <v>1</v>
      </c>
      <c r="F39" s="4" t="s">
        <v>158</v>
      </c>
      <c r="G39" s="4" t="s">
        <v>159</v>
      </c>
      <c r="H39" s="11" t="s">
        <v>21</v>
      </c>
      <c r="I39" s="11" t="s">
        <v>21</v>
      </c>
      <c r="J39" s="11" t="s">
        <v>160</v>
      </c>
      <c r="K39" s="11" t="s">
        <v>21</v>
      </c>
      <c r="L39" s="5" t="s">
        <v>2572</v>
      </c>
      <c r="M39" s="305"/>
      <c r="N39" s="310" t="s">
        <v>2612</v>
      </c>
      <c r="O39" s="309" t="s">
        <v>2499</v>
      </c>
      <c r="P39" s="275" t="s">
        <v>2584</v>
      </c>
    </row>
    <row r="40" spans="1:16" ht="120.45" hidden="1" customHeight="1">
      <c r="A40" s="3" t="s">
        <v>15</v>
      </c>
      <c r="B40" s="3" t="s">
        <v>16</v>
      </c>
      <c r="C40" s="3" t="s">
        <v>154</v>
      </c>
      <c r="D40" s="7" t="s">
        <v>24</v>
      </c>
      <c r="E40" s="3">
        <v>2</v>
      </c>
      <c r="F40" s="4" t="s">
        <v>161</v>
      </c>
      <c r="G40" s="4" t="s">
        <v>162</v>
      </c>
      <c r="H40" s="11" t="s">
        <v>21</v>
      </c>
      <c r="I40" s="11" t="s">
        <v>21</v>
      </c>
      <c r="J40" s="11" t="s">
        <v>163</v>
      </c>
      <c r="K40" s="11" t="s">
        <v>21</v>
      </c>
      <c r="L40" s="5" t="s">
        <v>31</v>
      </c>
      <c r="M40" s="305"/>
      <c r="N40" s="310"/>
      <c r="O40" s="310"/>
      <c r="P40" s="275" t="s">
        <v>2584</v>
      </c>
    </row>
    <row r="41" spans="1:16" ht="207" hidden="1">
      <c r="A41" s="3" t="s">
        <v>15</v>
      </c>
      <c r="B41" s="3" t="s">
        <v>16</v>
      </c>
      <c r="C41" s="3" t="s">
        <v>154</v>
      </c>
      <c r="D41" s="8" t="s">
        <v>40</v>
      </c>
      <c r="E41" s="3">
        <v>3</v>
      </c>
      <c r="F41" s="4" t="s">
        <v>164</v>
      </c>
      <c r="G41" s="4" t="s">
        <v>165</v>
      </c>
      <c r="H41" s="11" t="s">
        <v>27</v>
      </c>
      <c r="I41" s="15" t="s">
        <v>166</v>
      </c>
      <c r="J41" s="15" t="s">
        <v>167</v>
      </c>
      <c r="K41" s="5" t="s">
        <v>30</v>
      </c>
      <c r="L41" s="5" t="s">
        <v>31</v>
      </c>
      <c r="M41" s="305"/>
      <c r="N41" s="309" t="s">
        <v>2608</v>
      </c>
      <c r="O41" s="309"/>
      <c r="P41" s="275" t="s">
        <v>2584</v>
      </c>
    </row>
    <row r="42" spans="1:16" ht="162" hidden="1" customHeight="1">
      <c r="A42" s="3" t="s">
        <v>15</v>
      </c>
      <c r="B42" s="3" t="s">
        <v>16</v>
      </c>
      <c r="C42" s="3" t="s">
        <v>154</v>
      </c>
      <c r="D42" s="8" t="s">
        <v>40</v>
      </c>
      <c r="E42" s="3">
        <v>3</v>
      </c>
      <c r="F42" s="4" t="s">
        <v>168</v>
      </c>
      <c r="G42" s="4" t="s">
        <v>169</v>
      </c>
      <c r="H42" s="11" t="s">
        <v>55</v>
      </c>
      <c r="I42" s="15" t="s">
        <v>170</v>
      </c>
      <c r="J42" s="15" t="s">
        <v>171</v>
      </c>
      <c r="K42" s="5" t="s">
        <v>31</v>
      </c>
      <c r="L42" s="5" t="s">
        <v>31</v>
      </c>
      <c r="M42" s="305"/>
      <c r="N42" s="309"/>
      <c r="O42" s="309"/>
      <c r="P42" s="275" t="s">
        <v>2584</v>
      </c>
    </row>
    <row r="43" spans="1:16" ht="96.6" hidden="1">
      <c r="A43" s="3" t="s">
        <v>15</v>
      </c>
      <c r="B43" s="3" t="s">
        <v>16</v>
      </c>
      <c r="C43" s="3" t="s">
        <v>154</v>
      </c>
      <c r="D43" s="8" t="s">
        <v>40</v>
      </c>
      <c r="E43" s="3">
        <v>3</v>
      </c>
      <c r="F43" s="4" t="s">
        <v>172</v>
      </c>
      <c r="G43" s="4" t="s">
        <v>173</v>
      </c>
      <c r="H43" s="11" t="s">
        <v>27</v>
      </c>
      <c r="I43" s="15" t="s">
        <v>38</v>
      </c>
      <c r="J43" s="15" t="s">
        <v>174</v>
      </c>
      <c r="K43" s="5" t="s">
        <v>23</v>
      </c>
      <c r="L43" s="5" t="s">
        <v>23</v>
      </c>
      <c r="M43" s="305">
        <v>1</v>
      </c>
      <c r="N43" s="309"/>
      <c r="O43" s="309" t="s">
        <v>2498</v>
      </c>
      <c r="P43" s="275" t="s">
        <v>2584</v>
      </c>
    </row>
    <row r="44" spans="1:16" ht="41.4" hidden="1">
      <c r="A44" s="3" t="s">
        <v>15</v>
      </c>
      <c r="B44" s="3" t="s">
        <v>16</v>
      </c>
      <c r="C44" s="3" t="s">
        <v>154</v>
      </c>
      <c r="D44" s="8" t="s">
        <v>40</v>
      </c>
      <c r="E44" s="3">
        <v>3</v>
      </c>
      <c r="F44" s="4" t="s">
        <v>175</v>
      </c>
      <c r="G44" s="4" t="s">
        <v>176</v>
      </c>
      <c r="H44" s="11" t="s">
        <v>55</v>
      </c>
      <c r="I44" s="15" t="s">
        <v>177</v>
      </c>
      <c r="J44" s="15" t="s">
        <v>178</v>
      </c>
      <c r="K44" s="5" t="s">
        <v>30</v>
      </c>
      <c r="L44" s="5" t="s">
        <v>2572</v>
      </c>
      <c r="M44" s="305"/>
      <c r="N44" s="312" t="s">
        <v>2577</v>
      </c>
      <c r="O44" s="313" t="s">
        <v>2500</v>
      </c>
      <c r="P44" s="275" t="s">
        <v>2584</v>
      </c>
    </row>
    <row r="45" spans="1:16" ht="55.2" hidden="1">
      <c r="A45" s="3" t="s">
        <v>15</v>
      </c>
      <c r="B45" s="3" t="s">
        <v>16</v>
      </c>
      <c r="C45" s="3" t="s">
        <v>154</v>
      </c>
      <c r="D45" s="8" t="s">
        <v>40</v>
      </c>
      <c r="E45" s="3">
        <v>3</v>
      </c>
      <c r="F45" s="4" t="s">
        <v>179</v>
      </c>
      <c r="G45" s="4" t="s">
        <v>180</v>
      </c>
      <c r="H45" s="11" t="s">
        <v>181</v>
      </c>
      <c r="I45" s="15" t="s">
        <v>182</v>
      </c>
      <c r="J45" s="15" t="s">
        <v>183</v>
      </c>
      <c r="K45" s="5" t="s">
        <v>30</v>
      </c>
      <c r="L45" s="5" t="s">
        <v>2572</v>
      </c>
      <c r="M45" s="305"/>
      <c r="N45" s="312" t="s">
        <v>2578</v>
      </c>
      <c r="O45" s="313" t="s">
        <v>2501</v>
      </c>
      <c r="P45" s="275" t="s">
        <v>2584</v>
      </c>
    </row>
    <row r="46" spans="1:16" ht="96.6" hidden="1">
      <c r="A46" s="3" t="s">
        <v>15</v>
      </c>
      <c r="B46" s="3" t="s">
        <v>16</v>
      </c>
      <c r="C46" s="3" t="s">
        <v>154</v>
      </c>
      <c r="D46" s="8" t="s">
        <v>40</v>
      </c>
      <c r="E46" s="3">
        <v>3</v>
      </c>
      <c r="F46" s="4" t="s">
        <v>184</v>
      </c>
      <c r="G46" s="4" t="s">
        <v>185</v>
      </c>
      <c r="H46" s="11" t="s">
        <v>55</v>
      </c>
      <c r="I46" s="15" t="s">
        <v>186</v>
      </c>
      <c r="J46" s="15" t="s">
        <v>187</v>
      </c>
      <c r="K46" s="5" t="s">
        <v>23</v>
      </c>
      <c r="L46" s="5" t="s">
        <v>23</v>
      </c>
      <c r="M46" s="305"/>
      <c r="N46" s="309" t="s">
        <v>2625</v>
      </c>
      <c r="O46" s="309" t="s">
        <v>2579</v>
      </c>
      <c r="P46" s="275" t="s">
        <v>2584</v>
      </c>
    </row>
    <row r="47" spans="1:16" ht="409.6" hidden="1">
      <c r="A47" s="3" t="s">
        <v>15</v>
      </c>
      <c r="B47" s="3" t="s">
        <v>16</v>
      </c>
      <c r="C47" s="3" t="s">
        <v>154</v>
      </c>
      <c r="D47" s="9" t="s">
        <v>48</v>
      </c>
      <c r="E47" s="3">
        <v>4</v>
      </c>
      <c r="F47" s="4" t="s">
        <v>188</v>
      </c>
      <c r="G47" s="4" t="s">
        <v>189</v>
      </c>
      <c r="H47" s="11" t="s">
        <v>55</v>
      </c>
      <c r="I47" s="16" t="s">
        <v>190</v>
      </c>
      <c r="J47" s="16" t="s">
        <v>191</v>
      </c>
      <c r="K47" s="5" t="s">
        <v>30</v>
      </c>
      <c r="L47" s="5" t="s">
        <v>31</v>
      </c>
      <c r="M47" s="305">
        <v>1</v>
      </c>
      <c r="N47" s="309" t="s">
        <v>2576</v>
      </c>
      <c r="O47" s="309"/>
      <c r="P47" s="275" t="s">
        <v>2584</v>
      </c>
    </row>
    <row r="48" spans="1:16" ht="151.80000000000001" hidden="1">
      <c r="A48" s="3" t="s">
        <v>15</v>
      </c>
      <c r="B48" s="3" t="s">
        <v>16</v>
      </c>
      <c r="C48" s="3" t="s">
        <v>154</v>
      </c>
      <c r="D48" s="10" t="s">
        <v>52</v>
      </c>
      <c r="E48" s="3">
        <v>5</v>
      </c>
      <c r="F48" s="4" t="s">
        <v>192</v>
      </c>
      <c r="G48" s="4" t="s">
        <v>193</v>
      </c>
      <c r="H48" s="11" t="s">
        <v>21</v>
      </c>
      <c r="I48" s="15" t="s">
        <v>21</v>
      </c>
      <c r="J48" s="15" t="s">
        <v>194</v>
      </c>
      <c r="K48" s="11" t="s">
        <v>21</v>
      </c>
      <c r="L48" s="5" t="s">
        <v>31</v>
      </c>
      <c r="M48" s="305"/>
      <c r="N48" s="309"/>
      <c r="O48" s="309"/>
      <c r="P48" s="275" t="s">
        <v>2584</v>
      </c>
    </row>
    <row r="49" spans="1:16" ht="79.05" hidden="1" customHeight="1">
      <c r="A49" s="3" t="s">
        <v>195</v>
      </c>
      <c r="B49" s="3" t="s">
        <v>196</v>
      </c>
      <c r="C49" s="3" t="s">
        <v>197</v>
      </c>
      <c r="D49" s="6" t="s">
        <v>18</v>
      </c>
      <c r="E49" s="3">
        <v>1</v>
      </c>
      <c r="F49" s="4" t="s">
        <v>198</v>
      </c>
      <c r="G49" s="4" t="s">
        <v>199</v>
      </c>
      <c r="H49" s="11" t="s">
        <v>21</v>
      </c>
      <c r="I49" s="15" t="s">
        <v>21</v>
      </c>
      <c r="J49" s="15" t="s">
        <v>200</v>
      </c>
      <c r="K49" s="11" t="s">
        <v>21</v>
      </c>
      <c r="L49" s="5" t="s">
        <v>23</v>
      </c>
      <c r="M49" s="305"/>
      <c r="N49" s="309"/>
      <c r="O49" s="313" t="s">
        <v>2519</v>
      </c>
      <c r="P49" s="275" t="s">
        <v>2584</v>
      </c>
    </row>
    <row r="50" spans="1:16" ht="127.5" hidden="1" customHeight="1">
      <c r="A50" s="3" t="s">
        <v>195</v>
      </c>
      <c r="B50" s="3" t="s">
        <v>196</v>
      </c>
      <c r="C50" s="3" t="s">
        <v>197</v>
      </c>
      <c r="D50" s="7" t="s">
        <v>24</v>
      </c>
      <c r="E50" s="3">
        <v>2</v>
      </c>
      <c r="F50" s="4" t="s">
        <v>201</v>
      </c>
      <c r="G50" s="4" t="s">
        <v>202</v>
      </c>
      <c r="H50" s="11" t="s">
        <v>27</v>
      </c>
      <c r="I50" s="11" t="s">
        <v>203</v>
      </c>
      <c r="J50" s="11" t="s">
        <v>204</v>
      </c>
      <c r="K50" s="5" t="s">
        <v>23</v>
      </c>
      <c r="L50" s="5" t="s">
        <v>23</v>
      </c>
      <c r="M50" s="305"/>
      <c r="N50" s="310"/>
      <c r="O50" s="313" t="s">
        <v>2520</v>
      </c>
      <c r="P50" s="275" t="s">
        <v>2584</v>
      </c>
    </row>
    <row r="51" spans="1:16" ht="138" hidden="1">
      <c r="A51" s="3" t="s">
        <v>195</v>
      </c>
      <c r="B51" s="3" t="s">
        <v>196</v>
      </c>
      <c r="C51" s="3" t="s">
        <v>197</v>
      </c>
      <c r="D51" s="8" t="s">
        <v>40</v>
      </c>
      <c r="E51" s="3">
        <v>3</v>
      </c>
      <c r="F51" s="4" t="s">
        <v>205</v>
      </c>
      <c r="G51" s="4" t="s">
        <v>206</v>
      </c>
      <c r="H51" s="11" t="s">
        <v>21</v>
      </c>
      <c r="I51" s="15" t="s">
        <v>21</v>
      </c>
      <c r="J51" s="11" t="s">
        <v>207</v>
      </c>
      <c r="K51" s="11" t="s">
        <v>21</v>
      </c>
      <c r="L51" s="5" t="s">
        <v>31</v>
      </c>
      <c r="M51" s="305"/>
      <c r="N51" s="309"/>
      <c r="O51" s="309"/>
      <c r="P51" s="275"/>
    </row>
    <row r="52" spans="1:16" ht="358.8" hidden="1">
      <c r="A52" s="3" t="s">
        <v>195</v>
      </c>
      <c r="B52" s="3" t="s">
        <v>196</v>
      </c>
      <c r="C52" s="3" t="s">
        <v>197</v>
      </c>
      <c r="D52" s="9" t="s">
        <v>48</v>
      </c>
      <c r="E52" s="3">
        <v>4</v>
      </c>
      <c r="F52" s="4" t="s">
        <v>208</v>
      </c>
      <c r="G52" s="4" t="s">
        <v>209</v>
      </c>
      <c r="H52" s="11" t="s">
        <v>21</v>
      </c>
      <c r="I52" s="15" t="s">
        <v>21</v>
      </c>
      <c r="J52" s="11" t="s">
        <v>210</v>
      </c>
      <c r="K52" s="11" t="s">
        <v>21</v>
      </c>
      <c r="L52" s="5" t="s">
        <v>31</v>
      </c>
      <c r="M52" s="305"/>
      <c r="N52" s="309"/>
      <c r="O52" s="309"/>
      <c r="P52" s="275"/>
    </row>
    <row r="53" spans="1:16" ht="161.55000000000001" hidden="1" customHeight="1">
      <c r="A53" s="3" t="s">
        <v>195</v>
      </c>
      <c r="B53" s="3" t="s">
        <v>196</v>
      </c>
      <c r="C53" s="3" t="s">
        <v>197</v>
      </c>
      <c r="D53" s="10" t="s">
        <v>52</v>
      </c>
      <c r="E53" s="3">
        <v>5</v>
      </c>
      <c r="F53" s="22" t="s">
        <v>211</v>
      </c>
      <c r="G53" s="22" t="s">
        <v>212</v>
      </c>
      <c r="H53" s="11" t="s">
        <v>21</v>
      </c>
      <c r="I53" s="11" t="s">
        <v>21</v>
      </c>
      <c r="J53" s="11" t="s">
        <v>213</v>
      </c>
      <c r="K53" s="11" t="s">
        <v>21</v>
      </c>
      <c r="L53" s="5" t="s">
        <v>31</v>
      </c>
      <c r="M53" s="305"/>
      <c r="N53" s="309"/>
      <c r="O53" s="309"/>
      <c r="P53" s="275"/>
    </row>
    <row r="54" spans="1:16" ht="88.05" hidden="1" customHeight="1">
      <c r="A54" s="3" t="s">
        <v>195</v>
      </c>
      <c r="B54" s="3" t="s">
        <v>196</v>
      </c>
      <c r="C54" s="3" t="s">
        <v>214</v>
      </c>
      <c r="D54" s="6" t="s">
        <v>18</v>
      </c>
      <c r="E54" s="3">
        <v>1</v>
      </c>
      <c r="F54" s="22" t="s">
        <v>215</v>
      </c>
      <c r="G54" s="22" t="s">
        <v>216</v>
      </c>
      <c r="H54" s="11" t="s">
        <v>21</v>
      </c>
      <c r="I54" s="15" t="s">
        <v>21</v>
      </c>
      <c r="J54" s="15" t="s">
        <v>217</v>
      </c>
      <c r="K54" s="11" t="s">
        <v>21</v>
      </c>
      <c r="L54" s="5" t="s">
        <v>23</v>
      </c>
      <c r="M54" s="305"/>
      <c r="N54" s="309"/>
      <c r="O54" s="313" t="s">
        <v>2537</v>
      </c>
      <c r="P54" s="275" t="s">
        <v>2584</v>
      </c>
    </row>
    <row r="55" spans="1:16" ht="121.95" hidden="1" customHeight="1">
      <c r="A55" s="3" t="s">
        <v>195</v>
      </c>
      <c r="B55" s="3" t="s">
        <v>196</v>
      </c>
      <c r="C55" s="3" t="s">
        <v>214</v>
      </c>
      <c r="D55" s="7" t="s">
        <v>24</v>
      </c>
      <c r="E55" s="3">
        <v>2</v>
      </c>
      <c r="F55" s="4" t="s">
        <v>218</v>
      </c>
      <c r="G55" s="22" t="s">
        <v>219</v>
      </c>
      <c r="H55" s="11" t="s">
        <v>21</v>
      </c>
      <c r="I55" s="15" t="s">
        <v>21</v>
      </c>
      <c r="J55" s="15" t="s">
        <v>220</v>
      </c>
      <c r="K55" s="11" t="s">
        <v>21</v>
      </c>
      <c r="L55" s="5" t="s">
        <v>23</v>
      </c>
      <c r="M55" s="305"/>
      <c r="N55" s="309"/>
      <c r="O55" s="313" t="s">
        <v>2521</v>
      </c>
      <c r="P55" s="275" t="s">
        <v>2584</v>
      </c>
    </row>
    <row r="56" spans="1:16" ht="167.55" hidden="1" customHeight="1">
      <c r="A56" s="3" t="s">
        <v>195</v>
      </c>
      <c r="B56" s="3" t="s">
        <v>196</v>
      </c>
      <c r="C56" s="3" t="s">
        <v>214</v>
      </c>
      <c r="D56" s="7" t="s">
        <v>24</v>
      </c>
      <c r="E56" s="3">
        <v>2</v>
      </c>
      <c r="F56" s="4" t="s">
        <v>221</v>
      </c>
      <c r="G56" s="22" t="s">
        <v>222</v>
      </c>
      <c r="H56" s="11" t="s">
        <v>223</v>
      </c>
      <c r="I56" s="15" t="s">
        <v>224</v>
      </c>
      <c r="J56" s="15" t="s">
        <v>225</v>
      </c>
      <c r="K56" s="5" t="s">
        <v>30</v>
      </c>
      <c r="L56" s="5" t="s">
        <v>23</v>
      </c>
      <c r="M56" s="305"/>
      <c r="N56" s="310"/>
      <c r="O56" s="313" t="s">
        <v>2522</v>
      </c>
      <c r="P56" s="275" t="s">
        <v>2584</v>
      </c>
    </row>
    <row r="57" spans="1:16" ht="94.5" hidden="1" customHeight="1">
      <c r="A57" s="3" t="s">
        <v>195</v>
      </c>
      <c r="B57" s="3" t="s">
        <v>196</v>
      </c>
      <c r="C57" s="3" t="s">
        <v>214</v>
      </c>
      <c r="D57" s="8" t="s">
        <v>40</v>
      </c>
      <c r="E57" s="3">
        <v>3</v>
      </c>
      <c r="F57" s="4" t="s">
        <v>226</v>
      </c>
      <c r="G57" s="22" t="s">
        <v>227</v>
      </c>
      <c r="H57" s="11" t="s">
        <v>27</v>
      </c>
      <c r="I57" s="15" t="s">
        <v>228</v>
      </c>
      <c r="J57" s="15" t="s">
        <v>229</v>
      </c>
      <c r="K57" s="5" t="s">
        <v>23</v>
      </c>
      <c r="L57" s="5" t="s">
        <v>23</v>
      </c>
      <c r="M57" s="305"/>
      <c r="N57" s="309"/>
      <c r="O57" s="313" t="s">
        <v>2523</v>
      </c>
      <c r="P57" s="275" t="s">
        <v>2584</v>
      </c>
    </row>
    <row r="58" spans="1:16" ht="27.6" hidden="1">
      <c r="A58" s="3" t="s">
        <v>195</v>
      </c>
      <c r="B58" s="3" t="s">
        <v>196</v>
      </c>
      <c r="C58" s="3" t="s">
        <v>214</v>
      </c>
      <c r="D58" s="8" t="s">
        <v>40</v>
      </c>
      <c r="E58" s="3">
        <v>3</v>
      </c>
      <c r="F58" s="4" t="s">
        <v>230</v>
      </c>
      <c r="G58" s="22" t="s">
        <v>231</v>
      </c>
      <c r="H58" s="11" t="s">
        <v>27</v>
      </c>
      <c r="I58" s="15" t="s">
        <v>232</v>
      </c>
      <c r="J58" s="15" t="s">
        <v>233</v>
      </c>
      <c r="K58" s="5" t="s">
        <v>23</v>
      </c>
      <c r="L58" s="5" t="s">
        <v>23</v>
      </c>
      <c r="M58" s="305"/>
      <c r="N58" s="309"/>
      <c r="O58" s="313" t="s">
        <v>2523</v>
      </c>
      <c r="P58" s="275" t="s">
        <v>2584</v>
      </c>
    </row>
    <row r="59" spans="1:16" ht="289.8" hidden="1">
      <c r="A59" s="3" t="s">
        <v>195</v>
      </c>
      <c r="B59" s="3" t="s">
        <v>196</v>
      </c>
      <c r="C59" s="3" t="s">
        <v>214</v>
      </c>
      <c r="D59" s="8" t="s">
        <v>40</v>
      </c>
      <c r="E59" s="3">
        <v>3</v>
      </c>
      <c r="F59" s="4" t="s">
        <v>234</v>
      </c>
      <c r="G59" s="22" t="s">
        <v>235</v>
      </c>
      <c r="H59" s="11" t="s">
        <v>27</v>
      </c>
      <c r="I59" s="15" t="s">
        <v>236</v>
      </c>
      <c r="J59" s="15" t="s">
        <v>237</v>
      </c>
      <c r="K59" s="5" t="s">
        <v>23</v>
      </c>
      <c r="L59" s="5" t="s">
        <v>23</v>
      </c>
      <c r="M59" s="305"/>
      <c r="N59" s="309"/>
      <c r="O59" s="309" t="s">
        <v>2523</v>
      </c>
      <c r="P59" s="275" t="s">
        <v>2584</v>
      </c>
    </row>
    <row r="60" spans="1:16" ht="179.4" hidden="1">
      <c r="A60" s="3" t="s">
        <v>195</v>
      </c>
      <c r="B60" s="3" t="s">
        <v>196</v>
      </c>
      <c r="C60" s="3" t="s">
        <v>214</v>
      </c>
      <c r="D60" s="8" t="s">
        <v>40</v>
      </c>
      <c r="E60" s="3">
        <v>3</v>
      </c>
      <c r="F60" s="4" t="s">
        <v>238</v>
      </c>
      <c r="G60" s="22" t="s">
        <v>239</v>
      </c>
      <c r="H60" s="11" t="s">
        <v>27</v>
      </c>
      <c r="I60" s="15" t="s">
        <v>240</v>
      </c>
      <c r="J60" s="15" t="s">
        <v>241</v>
      </c>
      <c r="K60" s="5" t="s">
        <v>23</v>
      </c>
      <c r="L60" s="5" t="s">
        <v>23</v>
      </c>
      <c r="M60" s="305"/>
      <c r="N60" s="309"/>
      <c r="O60" s="309" t="s">
        <v>2523</v>
      </c>
      <c r="P60" s="275" t="s">
        <v>2584</v>
      </c>
    </row>
    <row r="61" spans="1:16" ht="68.55" hidden="1" customHeight="1">
      <c r="A61" s="3" t="s">
        <v>195</v>
      </c>
      <c r="B61" s="3" t="s">
        <v>196</v>
      </c>
      <c r="C61" s="3" t="s">
        <v>214</v>
      </c>
      <c r="D61" s="8" t="s">
        <v>40</v>
      </c>
      <c r="E61" s="3">
        <v>3</v>
      </c>
      <c r="F61" s="4" t="s">
        <v>242</v>
      </c>
      <c r="G61" s="22" t="s">
        <v>243</v>
      </c>
      <c r="H61" s="11" t="s">
        <v>21</v>
      </c>
      <c r="I61" s="5" t="s">
        <v>21</v>
      </c>
      <c r="J61" s="5" t="s">
        <v>244</v>
      </c>
      <c r="K61" s="11" t="s">
        <v>21</v>
      </c>
      <c r="L61" s="5" t="s">
        <v>31</v>
      </c>
      <c r="M61" s="305"/>
      <c r="N61" s="309"/>
      <c r="O61" s="309"/>
      <c r="P61" s="275"/>
    </row>
    <row r="62" spans="1:16" ht="78" hidden="1" customHeight="1">
      <c r="A62" s="3" t="s">
        <v>195</v>
      </c>
      <c r="B62" s="3" t="s">
        <v>196</v>
      </c>
      <c r="C62" s="3" t="s">
        <v>214</v>
      </c>
      <c r="D62" s="8" t="s">
        <v>40</v>
      </c>
      <c r="E62" s="3">
        <v>3</v>
      </c>
      <c r="F62" s="4" t="s">
        <v>245</v>
      </c>
      <c r="G62" s="22" t="s">
        <v>246</v>
      </c>
      <c r="H62" s="11" t="s">
        <v>21</v>
      </c>
      <c r="I62" s="5" t="s">
        <v>21</v>
      </c>
      <c r="J62" s="5" t="s">
        <v>247</v>
      </c>
      <c r="K62" s="11" t="s">
        <v>21</v>
      </c>
      <c r="L62" s="5" t="s">
        <v>31</v>
      </c>
      <c r="M62" s="305"/>
      <c r="N62" s="314"/>
      <c r="O62" s="314"/>
      <c r="P62" s="275"/>
    </row>
    <row r="63" spans="1:16" ht="138" hidden="1">
      <c r="A63" s="3" t="s">
        <v>195</v>
      </c>
      <c r="B63" s="3" t="s">
        <v>196</v>
      </c>
      <c r="C63" s="3" t="s">
        <v>214</v>
      </c>
      <c r="D63" s="8" t="s">
        <v>40</v>
      </c>
      <c r="E63" s="3">
        <v>3</v>
      </c>
      <c r="F63" s="4" t="s">
        <v>248</v>
      </c>
      <c r="G63" s="22" t="s">
        <v>249</v>
      </c>
      <c r="H63" s="11" t="s">
        <v>55</v>
      </c>
      <c r="I63" s="5" t="s">
        <v>250</v>
      </c>
      <c r="J63" s="5" t="s">
        <v>251</v>
      </c>
      <c r="K63" s="5" t="s">
        <v>23</v>
      </c>
      <c r="L63" s="5" t="s">
        <v>23</v>
      </c>
      <c r="M63" s="305"/>
      <c r="N63" s="309"/>
      <c r="O63" s="309" t="s">
        <v>2523</v>
      </c>
      <c r="P63" s="275"/>
    </row>
    <row r="64" spans="1:16" ht="409.6" hidden="1">
      <c r="A64" s="3" t="s">
        <v>195</v>
      </c>
      <c r="B64" s="3" t="s">
        <v>196</v>
      </c>
      <c r="C64" s="3" t="s">
        <v>214</v>
      </c>
      <c r="D64" s="9" t="s">
        <v>48</v>
      </c>
      <c r="E64" s="3">
        <v>4</v>
      </c>
      <c r="F64" s="4" t="s">
        <v>252</v>
      </c>
      <c r="G64" s="22" t="s">
        <v>253</v>
      </c>
      <c r="H64" s="11" t="s">
        <v>55</v>
      </c>
      <c r="I64" s="5" t="s">
        <v>254</v>
      </c>
      <c r="J64" s="5" t="s">
        <v>255</v>
      </c>
      <c r="K64" s="5" t="s">
        <v>31</v>
      </c>
      <c r="L64" s="5" t="s">
        <v>31</v>
      </c>
      <c r="M64" s="305"/>
      <c r="N64" s="309"/>
      <c r="O64" s="309"/>
      <c r="P64" s="275"/>
    </row>
    <row r="65" spans="1:16" ht="82.8" hidden="1">
      <c r="A65" s="3" t="s">
        <v>195</v>
      </c>
      <c r="B65" s="3" t="s">
        <v>196</v>
      </c>
      <c r="C65" s="3" t="s">
        <v>214</v>
      </c>
      <c r="D65" s="10" t="s">
        <v>52</v>
      </c>
      <c r="E65" s="3">
        <v>5</v>
      </c>
      <c r="F65" s="4" t="s">
        <v>256</v>
      </c>
      <c r="G65" s="41" t="s">
        <v>257</v>
      </c>
      <c r="H65" s="11" t="s">
        <v>21</v>
      </c>
      <c r="I65" s="5" t="s">
        <v>21</v>
      </c>
      <c r="J65" s="5" t="s">
        <v>258</v>
      </c>
      <c r="K65" s="11" t="s">
        <v>21</v>
      </c>
      <c r="L65" s="5" t="s">
        <v>31</v>
      </c>
      <c r="M65" s="305"/>
      <c r="N65" s="309"/>
      <c r="O65" s="309"/>
      <c r="P65" s="275"/>
    </row>
    <row r="66" spans="1:16" ht="69" hidden="1">
      <c r="A66" s="3" t="s">
        <v>195</v>
      </c>
      <c r="B66" s="3" t="s">
        <v>196</v>
      </c>
      <c r="C66" s="3" t="s">
        <v>259</v>
      </c>
      <c r="D66" s="6" t="s">
        <v>18</v>
      </c>
      <c r="E66" s="3">
        <v>1</v>
      </c>
      <c r="F66" s="4" t="s">
        <v>260</v>
      </c>
      <c r="G66" s="22" t="s">
        <v>261</v>
      </c>
      <c r="H66" s="11" t="s">
        <v>21</v>
      </c>
      <c r="I66" s="5" t="s">
        <v>21</v>
      </c>
      <c r="J66" s="5" t="s">
        <v>262</v>
      </c>
      <c r="K66" s="11" t="s">
        <v>21</v>
      </c>
      <c r="L66" s="5" t="s">
        <v>23</v>
      </c>
      <c r="M66" s="305"/>
      <c r="N66" s="309"/>
      <c r="O66" s="313" t="s">
        <v>2524</v>
      </c>
      <c r="P66" s="275" t="s">
        <v>2584</v>
      </c>
    </row>
    <row r="67" spans="1:16" ht="165.6" hidden="1">
      <c r="A67" s="3" t="s">
        <v>195</v>
      </c>
      <c r="B67" s="3" t="s">
        <v>196</v>
      </c>
      <c r="C67" s="3" t="s">
        <v>259</v>
      </c>
      <c r="D67" s="7" t="s">
        <v>24</v>
      </c>
      <c r="E67" s="3">
        <v>2</v>
      </c>
      <c r="F67" s="4" t="s">
        <v>263</v>
      </c>
      <c r="G67" s="22" t="s">
        <v>264</v>
      </c>
      <c r="H67" s="11" t="s">
        <v>21</v>
      </c>
      <c r="I67" s="5" t="s">
        <v>21</v>
      </c>
      <c r="J67" s="5" t="s">
        <v>265</v>
      </c>
      <c r="K67" s="11" t="s">
        <v>21</v>
      </c>
      <c r="L67" s="5" t="s">
        <v>31</v>
      </c>
      <c r="M67" s="305"/>
      <c r="N67" s="309" t="s">
        <v>2536</v>
      </c>
      <c r="O67" s="313" t="s">
        <v>2524</v>
      </c>
      <c r="P67" s="275" t="s">
        <v>2584</v>
      </c>
    </row>
    <row r="68" spans="1:16" ht="96.6" hidden="1">
      <c r="A68" s="3" t="s">
        <v>195</v>
      </c>
      <c r="B68" s="3" t="s">
        <v>196</v>
      </c>
      <c r="C68" s="3" t="s">
        <v>259</v>
      </c>
      <c r="D68" s="8" t="s">
        <v>40</v>
      </c>
      <c r="E68" s="3">
        <v>3</v>
      </c>
      <c r="F68" s="4" t="s">
        <v>266</v>
      </c>
      <c r="G68" s="22" t="s">
        <v>267</v>
      </c>
      <c r="H68" s="11" t="s">
        <v>55</v>
      </c>
      <c r="I68" s="5" t="s">
        <v>268</v>
      </c>
      <c r="J68" s="5" t="s">
        <v>269</v>
      </c>
      <c r="K68" s="5" t="s">
        <v>30</v>
      </c>
      <c r="L68" s="5" t="s">
        <v>31</v>
      </c>
      <c r="M68" s="305"/>
      <c r="N68" s="309"/>
      <c r="O68" s="309"/>
      <c r="P68" s="275"/>
    </row>
    <row r="69" spans="1:16" ht="69" hidden="1">
      <c r="A69" s="3" t="s">
        <v>195</v>
      </c>
      <c r="B69" s="3" t="s">
        <v>196</v>
      </c>
      <c r="C69" s="3" t="s">
        <v>259</v>
      </c>
      <c r="D69" s="8" t="s">
        <v>40</v>
      </c>
      <c r="E69" s="3">
        <v>3</v>
      </c>
      <c r="F69" s="4" t="s">
        <v>270</v>
      </c>
      <c r="G69" s="22" t="s">
        <v>271</v>
      </c>
      <c r="H69" s="11" t="s">
        <v>55</v>
      </c>
      <c r="I69" s="5" t="s">
        <v>272</v>
      </c>
      <c r="J69" s="5" t="s">
        <v>273</v>
      </c>
      <c r="K69" s="5" t="s">
        <v>31</v>
      </c>
      <c r="L69" s="5" t="s">
        <v>31</v>
      </c>
      <c r="M69" s="305"/>
      <c r="N69" s="309"/>
      <c r="O69" s="309"/>
      <c r="P69" s="275"/>
    </row>
    <row r="70" spans="1:16" ht="358.8" hidden="1">
      <c r="A70" s="3" t="s">
        <v>195</v>
      </c>
      <c r="B70" s="3" t="s">
        <v>196</v>
      </c>
      <c r="C70" s="3" t="s">
        <v>259</v>
      </c>
      <c r="D70" s="9" t="s">
        <v>48</v>
      </c>
      <c r="E70" s="3">
        <v>4</v>
      </c>
      <c r="F70" s="4" t="s">
        <v>274</v>
      </c>
      <c r="G70" s="22" t="s">
        <v>275</v>
      </c>
      <c r="H70" s="11" t="s">
        <v>21</v>
      </c>
      <c r="I70" s="5" t="s">
        <v>21</v>
      </c>
      <c r="J70" s="5" t="s">
        <v>276</v>
      </c>
      <c r="K70" s="11" t="s">
        <v>21</v>
      </c>
      <c r="L70" s="5" t="s">
        <v>31</v>
      </c>
      <c r="M70" s="305"/>
      <c r="N70" s="309"/>
      <c r="O70" s="309"/>
      <c r="P70" s="275"/>
    </row>
    <row r="71" spans="1:16" ht="151.80000000000001" hidden="1">
      <c r="A71" s="3" t="s">
        <v>195</v>
      </c>
      <c r="B71" s="3" t="s">
        <v>196</v>
      </c>
      <c r="C71" s="3" t="s">
        <v>259</v>
      </c>
      <c r="D71" s="10" t="s">
        <v>52</v>
      </c>
      <c r="E71" s="3">
        <v>5</v>
      </c>
      <c r="F71" s="4" t="s">
        <v>277</v>
      </c>
      <c r="G71" s="41" t="s">
        <v>278</v>
      </c>
      <c r="H71" s="11" t="s">
        <v>21</v>
      </c>
      <c r="I71" s="5" t="s">
        <v>21</v>
      </c>
      <c r="J71" s="5" t="s">
        <v>279</v>
      </c>
      <c r="K71" s="11" t="s">
        <v>21</v>
      </c>
      <c r="L71" s="5" t="s">
        <v>31</v>
      </c>
      <c r="M71" s="305"/>
      <c r="N71" s="309"/>
      <c r="O71" s="309" t="s">
        <v>2530</v>
      </c>
      <c r="P71" s="275"/>
    </row>
    <row r="72" spans="1:16" ht="82.8" hidden="1">
      <c r="A72" s="23" t="s">
        <v>280</v>
      </c>
      <c r="B72" s="3" t="s">
        <v>281</v>
      </c>
      <c r="C72" s="3" t="s">
        <v>282</v>
      </c>
      <c r="D72" s="6" t="s">
        <v>18</v>
      </c>
      <c r="E72" s="3">
        <v>1</v>
      </c>
      <c r="F72" s="4" t="s">
        <v>283</v>
      </c>
      <c r="G72" s="22" t="s">
        <v>284</v>
      </c>
      <c r="H72" s="11" t="s">
        <v>21</v>
      </c>
      <c r="I72" s="5" t="s">
        <v>21</v>
      </c>
      <c r="J72" s="5" t="s">
        <v>285</v>
      </c>
      <c r="K72" s="11" t="s">
        <v>21</v>
      </c>
      <c r="L72" s="5" t="s">
        <v>23</v>
      </c>
      <c r="M72" s="305"/>
      <c r="N72" s="309"/>
      <c r="O72" s="309" t="s">
        <v>2485</v>
      </c>
      <c r="P72" s="275" t="s">
        <v>2584</v>
      </c>
    </row>
    <row r="73" spans="1:16" ht="124.2" hidden="1">
      <c r="A73" s="23" t="s">
        <v>280</v>
      </c>
      <c r="B73" s="3" t="s">
        <v>281</v>
      </c>
      <c r="C73" s="3" t="s">
        <v>282</v>
      </c>
      <c r="D73" s="6" t="s">
        <v>18</v>
      </c>
      <c r="E73" s="3">
        <v>1</v>
      </c>
      <c r="F73" s="4" t="s">
        <v>286</v>
      </c>
      <c r="G73" s="22" t="s">
        <v>287</v>
      </c>
      <c r="H73" s="11" t="s">
        <v>21</v>
      </c>
      <c r="I73" s="5" t="s">
        <v>288</v>
      </c>
      <c r="J73" s="5" t="s">
        <v>289</v>
      </c>
      <c r="K73" s="5" t="s">
        <v>30</v>
      </c>
      <c r="L73" s="5" t="s">
        <v>2572</v>
      </c>
      <c r="M73" s="305"/>
      <c r="N73" s="314" t="s">
        <v>2601</v>
      </c>
      <c r="O73" s="314" t="s">
        <v>2510</v>
      </c>
      <c r="P73" s="275" t="s">
        <v>2597</v>
      </c>
    </row>
    <row r="74" spans="1:16" ht="204" hidden="1" customHeight="1">
      <c r="A74" s="23" t="s">
        <v>280</v>
      </c>
      <c r="B74" s="3" t="s">
        <v>281</v>
      </c>
      <c r="C74" s="3" t="s">
        <v>282</v>
      </c>
      <c r="D74" s="7" t="s">
        <v>24</v>
      </c>
      <c r="E74" s="3">
        <v>2</v>
      </c>
      <c r="F74" s="4" t="s">
        <v>290</v>
      </c>
      <c r="G74" s="22" t="s">
        <v>291</v>
      </c>
      <c r="H74" s="11" t="s">
        <v>21</v>
      </c>
      <c r="I74" s="5" t="s">
        <v>21</v>
      </c>
      <c r="J74" s="5" t="s">
        <v>292</v>
      </c>
      <c r="K74" s="11" t="s">
        <v>21</v>
      </c>
      <c r="L74" s="5" t="s">
        <v>31</v>
      </c>
      <c r="M74" s="305"/>
      <c r="N74" s="309"/>
      <c r="O74" s="309"/>
      <c r="P74" s="275" t="s">
        <v>2597</v>
      </c>
    </row>
    <row r="75" spans="1:16" ht="131.55000000000001" hidden="1" customHeight="1">
      <c r="A75" s="23" t="s">
        <v>280</v>
      </c>
      <c r="B75" s="3" t="s">
        <v>281</v>
      </c>
      <c r="C75" s="3" t="s">
        <v>282</v>
      </c>
      <c r="D75" s="7" t="s">
        <v>24</v>
      </c>
      <c r="E75" s="3">
        <v>2</v>
      </c>
      <c r="F75" s="4" t="s">
        <v>293</v>
      </c>
      <c r="G75" s="22" t="s">
        <v>294</v>
      </c>
      <c r="H75" s="11" t="s">
        <v>27</v>
      </c>
      <c r="I75" s="5" t="s">
        <v>295</v>
      </c>
      <c r="J75" s="5" t="s">
        <v>296</v>
      </c>
      <c r="K75" s="5" t="s">
        <v>31</v>
      </c>
      <c r="L75" s="5" t="s">
        <v>31</v>
      </c>
      <c r="M75" s="305"/>
      <c r="N75" s="309"/>
      <c r="O75" s="309"/>
      <c r="P75" s="275" t="s">
        <v>2597</v>
      </c>
    </row>
    <row r="76" spans="1:16" ht="127.5" hidden="1" customHeight="1">
      <c r="A76" s="23" t="s">
        <v>280</v>
      </c>
      <c r="B76" s="3" t="s">
        <v>281</v>
      </c>
      <c r="C76" s="3" t="s">
        <v>282</v>
      </c>
      <c r="D76" s="7" t="s">
        <v>24</v>
      </c>
      <c r="E76" s="3">
        <v>2</v>
      </c>
      <c r="F76" s="4" t="s">
        <v>297</v>
      </c>
      <c r="G76" s="22" t="s">
        <v>298</v>
      </c>
      <c r="H76" s="11" t="s">
        <v>27</v>
      </c>
      <c r="I76" s="5" t="s">
        <v>299</v>
      </c>
      <c r="J76" s="5" t="s">
        <v>300</v>
      </c>
      <c r="K76" s="5" t="s">
        <v>30</v>
      </c>
      <c r="L76" s="5" t="s">
        <v>2572</v>
      </c>
      <c r="M76" s="305"/>
      <c r="N76" s="309" t="s">
        <v>2642</v>
      </c>
      <c r="O76" s="309" t="s">
        <v>2485</v>
      </c>
      <c r="P76" s="275" t="s">
        <v>2597</v>
      </c>
    </row>
    <row r="77" spans="1:16" ht="331.2" hidden="1">
      <c r="A77" s="23" t="s">
        <v>280</v>
      </c>
      <c r="B77" s="3" t="s">
        <v>281</v>
      </c>
      <c r="C77" s="3" t="s">
        <v>282</v>
      </c>
      <c r="D77" s="7" t="s">
        <v>24</v>
      </c>
      <c r="E77" s="3">
        <v>2</v>
      </c>
      <c r="F77" s="4" t="s">
        <v>301</v>
      </c>
      <c r="G77" s="22" t="s">
        <v>302</v>
      </c>
      <c r="H77" s="11" t="s">
        <v>21</v>
      </c>
      <c r="I77" s="5" t="s">
        <v>21</v>
      </c>
      <c r="J77" s="5" t="s">
        <v>303</v>
      </c>
      <c r="K77" s="11" t="s">
        <v>21</v>
      </c>
      <c r="L77" s="5" t="s">
        <v>31</v>
      </c>
      <c r="M77" s="305"/>
      <c r="N77" s="309"/>
      <c r="O77" s="309"/>
      <c r="P77" s="275" t="s">
        <v>2584</v>
      </c>
    </row>
    <row r="78" spans="1:16" ht="252" hidden="1" customHeight="1">
      <c r="A78" s="23" t="s">
        <v>280</v>
      </c>
      <c r="B78" s="3" t="s">
        <v>281</v>
      </c>
      <c r="C78" s="3" t="s">
        <v>282</v>
      </c>
      <c r="D78" s="7" t="s">
        <v>24</v>
      </c>
      <c r="E78" s="3">
        <v>2</v>
      </c>
      <c r="F78" s="4" t="s">
        <v>304</v>
      </c>
      <c r="G78" s="22" t="s">
        <v>305</v>
      </c>
      <c r="H78" s="11" t="s">
        <v>21</v>
      </c>
      <c r="I78" s="5" t="s">
        <v>21</v>
      </c>
      <c r="J78" s="5" t="s">
        <v>306</v>
      </c>
      <c r="K78" s="11" t="s">
        <v>21</v>
      </c>
      <c r="L78" s="5" t="s">
        <v>31</v>
      </c>
      <c r="M78" s="305"/>
      <c r="N78" s="309" t="s">
        <v>2556</v>
      </c>
      <c r="O78" s="309" t="s">
        <v>2547</v>
      </c>
      <c r="P78" s="275" t="s">
        <v>2584</v>
      </c>
    </row>
    <row r="79" spans="1:16" ht="242.55" hidden="1" customHeight="1">
      <c r="A79" s="23" t="s">
        <v>280</v>
      </c>
      <c r="B79" s="3" t="s">
        <v>281</v>
      </c>
      <c r="C79" s="3" t="s">
        <v>282</v>
      </c>
      <c r="D79" s="8" t="s">
        <v>40</v>
      </c>
      <c r="E79" s="3">
        <v>3</v>
      </c>
      <c r="F79" s="4" t="s">
        <v>307</v>
      </c>
      <c r="G79" s="22" t="s">
        <v>308</v>
      </c>
      <c r="H79" s="11" t="s">
        <v>21</v>
      </c>
      <c r="I79" s="15" t="s">
        <v>21</v>
      </c>
      <c r="J79" s="5" t="s">
        <v>309</v>
      </c>
      <c r="K79" s="11" t="s">
        <v>21</v>
      </c>
      <c r="L79" s="5" t="s">
        <v>31</v>
      </c>
      <c r="M79" s="305"/>
      <c r="N79" s="309"/>
      <c r="O79" s="309"/>
      <c r="P79" s="275" t="s">
        <v>2594</v>
      </c>
    </row>
    <row r="80" spans="1:16" ht="180.45" hidden="1" customHeight="1">
      <c r="A80" s="23" t="s">
        <v>280</v>
      </c>
      <c r="B80" s="3" t="s">
        <v>281</v>
      </c>
      <c r="C80" s="3" t="s">
        <v>282</v>
      </c>
      <c r="D80" s="8" t="s">
        <v>40</v>
      </c>
      <c r="E80" s="3">
        <v>3</v>
      </c>
      <c r="F80" s="4" t="s">
        <v>310</v>
      </c>
      <c r="G80" s="22" t="s">
        <v>311</v>
      </c>
      <c r="H80" s="11" t="s">
        <v>55</v>
      </c>
      <c r="I80" s="15" t="s">
        <v>312</v>
      </c>
      <c r="J80" s="15" t="s">
        <v>313</v>
      </c>
      <c r="K80" s="5" t="s">
        <v>31</v>
      </c>
      <c r="L80" s="5" t="s">
        <v>31</v>
      </c>
      <c r="M80" s="305"/>
      <c r="N80" s="309"/>
      <c r="O80" s="309"/>
      <c r="P80" s="275" t="s">
        <v>2584</v>
      </c>
    </row>
    <row r="81" spans="1:16" ht="173.55" hidden="1" customHeight="1">
      <c r="A81" s="23" t="s">
        <v>280</v>
      </c>
      <c r="B81" s="3" t="s">
        <v>281</v>
      </c>
      <c r="C81" s="3" t="s">
        <v>282</v>
      </c>
      <c r="D81" s="8" t="s">
        <v>40</v>
      </c>
      <c r="E81" s="3">
        <v>3</v>
      </c>
      <c r="F81" s="4" t="s">
        <v>314</v>
      </c>
      <c r="G81" s="22" t="s">
        <v>315</v>
      </c>
      <c r="H81" s="11" t="s">
        <v>21</v>
      </c>
      <c r="I81" s="11" t="s">
        <v>21</v>
      </c>
      <c r="J81" s="5" t="s">
        <v>316</v>
      </c>
      <c r="K81" s="11" t="s">
        <v>21</v>
      </c>
      <c r="L81" s="5" t="s">
        <v>31</v>
      </c>
      <c r="M81" s="305"/>
      <c r="N81" s="310" t="s">
        <v>2557</v>
      </c>
      <c r="O81" s="310"/>
      <c r="P81" s="275" t="s">
        <v>2584</v>
      </c>
    </row>
    <row r="82" spans="1:16" ht="372.6" hidden="1">
      <c r="A82" s="23" t="s">
        <v>280</v>
      </c>
      <c r="B82" s="3" t="s">
        <v>281</v>
      </c>
      <c r="C82" s="3" t="s">
        <v>282</v>
      </c>
      <c r="D82" s="9" t="s">
        <v>48</v>
      </c>
      <c r="E82" s="3">
        <v>4</v>
      </c>
      <c r="F82" s="4" t="s">
        <v>317</v>
      </c>
      <c r="G82" s="22" t="s">
        <v>318</v>
      </c>
      <c r="H82" s="11" t="s">
        <v>21</v>
      </c>
      <c r="I82" s="11" t="s">
        <v>21</v>
      </c>
      <c r="J82" s="11" t="s">
        <v>319</v>
      </c>
      <c r="K82" s="11" t="s">
        <v>21</v>
      </c>
      <c r="L82" s="5" t="s">
        <v>31</v>
      </c>
      <c r="M82" s="305"/>
      <c r="N82" s="314"/>
      <c r="O82" s="314"/>
      <c r="P82" s="275" t="s">
        <v>2594</v>
      </c>
    </row>
    <row r="83" spans="1:16" ht="110.4" hidden="1">
      <c r="A83" s="23" t="s">
        <v>280</v>
      </c>
      <c r="B83" s="3" t="s">
        <v>281</v>
      </c>
      <c r="C83" s="3" t="s">
        <v>282</v>
      </c>
      <c r="D83" s="10" t="s">
        <v>52</v>
      </c>
      <c r="E83" s="3">
        <v>5</v>
      </c>
      <c r="F83" s="4" t="s">
        <v>320</v>
      </c>
      <c r="G83" s="22" t="s">
        <v>321</v>
      </c>
      <c r="H83" s="11" t="s">
        <v>21</v>
      </c>
      <c r="I83" s="11" t="s">
        <v>21</v>
      </c>
      <c r="J83" s="11" t="s">
        <v>322</v>
      </c>
      <c r="K83" s="11" t="s">
        <v>21</v>
      </c>
      <c r="L83" s="5" t="s">
        <v>31</v>
      </c>
      <c r="M83" s="305"/>
      <c r="N83" s="309"/>
      <c r="O83" s="309"/>
      <c r="P83" s="275" t="s">
        <v>2594</v>
      </c>
    </row>
    <row r="84" spans="1:16" ht="96.6" hidden="1">
      <c r="A84" s="23" t="s">
        <v>280</v>
      </c>
      <c r="B84" s="3" t="s">
        <v>281</v>
      </c>
      <c r="C84" s="3" t="s">
        <v>323</v>
      </c>
      <c r="D84" s="6" t="s">
        <v>18</v>
      </c>
      <c r="E84" s="3">
        <v>1</v>
      </c>
      <c r="F84" s="4" t="s">
        <v>324</v>
      </c>
      <c r="G84" s="22" t="s">
        <v>325</v>
      </c>
      <c r="H84" s="11" t="s">
        <v>21</v>
      </c>
      <c r="I84" s="15" t="s">
        <v>21</v>
      </c>
      <c r="J84" s="15" t="s">
        <v>326</v>
      </c>
      <c r="K84" s="11" t="s">
        <v>21</v>
      </c>
      <c r="L84" s="5" t="s">
        <v>23</v>
      </c>
      <c r="M84" s="305"/>
      <c r="N84" s="309"/>
      <c r="O84" s="309" t="s">
        <v>2511</v>
      </c>
      <c r="P84" s="275" t="s">
        <v>2584</v>
      </c>
    </row>
    <row r="85" spans="1:16" ht="151.80000000000001" hidden="1">
      <c r="A85" s="23" t="s">
        <v>280</v>
      </c>
      <c r="B85" s="3" t="s">
        <v>281</v>
      </c>
      <c r="C85" s="3" t="s">
        <v>323</v>
      </c>
      <c r="D85" s="7" t="s">
        <v>24</v>
      </c>
      <c r="E85" s="3">
        <v>2</v>
      </c>
      <c r="F85" s="4" t="s">
        <v>327</v>
      </c>
      <c r="G85" s="22" t="s">
        <v>328</v>
      </c>
      <c r="H85" s="11" t="s">
        <v>27</v>
      </c>
      <c r="I85" s="15" t="s">
        <v>329</v>
      </c>
      <c r="J85" s="15" t="s">
        <v>330</v>
      </c>
      <c r="K85" s="5" t="s">
        <v>30</v>
      </c>
      <c r="L85" s="5" t="s">
        <v>2572</v>
      </c>
      <c r="M85" s="305">
        <v>1</v>
      </c>
      <c r="N85" s="309" t="s">
        <v>2558</v>
      </c>
      <c r="O85" s="309" t="s">
        <v>2511</v>
      </c>
      <c r="P85" s="275" t="s">
        <v>2584</v>
      </c>
    </row>
    <row r="86" spans="1:16" ht="67.5" hidden="1" customHeight="1">
      <c r="A86" s="23" t="s">
        <v>280</v>
      </c>
      <c r="B86" s="3" t="s">
        <v>281</v>
      </c>
      <c r="C86" s="3" t="s">
        <v>323</v>
      </c>
      <c r="D86" s="7" t="s">
        <v>24</v>
      </c>
      <c r="E86" s="3">
        <v>2</v>
      </c>
      <c r="F86" s="4" t="s">
        <v>331</v>
      </c>
      <c r="G86" s="22" t="s">
        <v>332</v>
      </c>
      <c r="H86" s="11" t="s">
        <v>21</v>
      </c>
      <c r="I86" s="15" t="s">
        <v>21</v>
      </c>
      <c r="J86" s="15" t="s">
        <v>333</v>
      </c>
      <c r="K86" s="11" t="s">
        <v>21</v>
      </c>
      <c r="L86" s="5" t="s">
        <v>23</v>
      </c>
      <c r="M86" s="306"/>
      <c r="N86" s="309"/>
      <c r="O86" s="309" t="s">
        <v>2559</v>
      </c>
      <c r="P86" s="275" t="s">
        <v>2584</v>
      </c>
    </row>
    <row r="87" spans="1:16" ht="27.6" hidden="1">
      <c r="A87" s="23" t="s">
        <v>280</v>
      </c>
      <c r="B87" s="3" t="s">
        <v>281</v>
      </c>
      <c r="C87" s="3" t="s">
        <v>323</v>
      </c>
      <c r="D87" s="7" t="s">
        <v>24</v>
      </c>
      <c r="E87" s="3">
        <v>2</v>
      </c>
      <c r="F87" s="4" t="s">
        <v>334</v>
      </c>
      <c r="G87" s="22" t="s">
        <v>335</v>
      </c>
      <c r="H87" s="11" t="s">
        <v>55</v>
      </c>
      <c r="I87" s="15" t="s">
        <v>336</v>
      </c>
      <c r="J87" s="15" t="s">
        <v>337</v>
      </c>
      <c r="K87" s="5" t="s">
        <v>31</v>
      </c>
      <c r="L87" s="5" t="s">
        <v>31</v>
      </c>
      <c r="M87" s="305">
        <v>1</v>
      </c>
      <c r="N87" s="309"/>
      <c r="O87" s="309"/>
      <c r="P87" s="275" t="s">
        <v>2584</v>
      </c>
    </row>
    <row r="88" spans="1:16" ht="124.2" hidden="1">
      <c r="A88" s="23" t="s">
        <v>280</v>
      </c>
      <c r="B88" s="3" t="s">
        <v>281</v>
      </c>
      <c r="C88" s="3" t="s">
        <v>323</v>
      </c>
      <c r="D88" s="7" t="s">
        <v>24</v>
      </c>
      <c r="E88" s="3">
        <v>2</v>
      </c>
      <c r="F88" s="4" t="s">
        <v>338</v>
      </c>
      <c r="G88" s="22" t="s">
        <v>339</v>
      </c>
      <c r="H88" s="11" t="s">
        <v>27</v>
      </c>
      <c r="I88" s="15" t="s">
        <v>340</v>
      </c>
      <c r="J88" s="15" t="s">
        <v>341</v>
      </c>
      <c r="K88" s="5" t="s">
        <v>31</v>
      </c>
      <c r="L88" s="5" t="s">
        <v>31</v>
      </c>
      <c r="M88" s="305">
        <v>1</v>
      </c>
      <c r="N88" s="309"/>
      <c r="O88" s="309"/>
      <c r="P88" s="275" t="s">
        <v>2584</v>
      </c>
    </row>
    <row r="89" spans="1:16" ht="96.6" hidden="1">
      <c r="A89" s="23" t="s">
        <v>280</v>
      </c>
      <c r="B89" s="3" t="s">
        <v>281</v>
      </c>
      <c r="C89" s="3" t="s">
        <v>323</v>
      </c>
      <c r="D89" s="8" t="s">
        <v>40</v>
      </c>
      <c r="E89" s="3">
        <v>3</v>
      </c>
      <c r="F89" s="4" t="s">
        <v>342</v>
      </c>
      <c r="G89" s="22" t="s">
        <v>343</v>
      </c>
      <c r="H89" s="11" t="s">
        <v>27</v>
      </c>
      <c r="I89" s="15" t="s">
        <v>329</v>
      </c>
      <c r="J89" s="15" t="s">
        <v>344</v>
      </c>
      <c r="K89" s="5" t="s">
        <v>30</v>
      </c>
      <c r="L89" s="5" t="s">
        <v>31</v>
      </c>
      <c r="M89" s="305">
        <v>1</v>
      </c>
      <c r="N89" s="309"/>
      <c r="O89" s="309"/>
      <c r="P89" s="275" t="s">
        <v>2584</v>
      </c>
    </row>
    <row r="90" spans="1:16" ht="100.5" hidden="1" customHeight="1">
      <c r="A90" s="23" t="s">
        <v>280</v>
      </c>
      <c r="B90" s="3" t="s">
        <v>281</v>
      </c>
      <c r="C90" s="3" t="s">
        <v>323</v>
      </c>
      <c r="D90" s="8" t="s">
        <v>40</v>
      </c>
      <c r="E90" s="3">
        <v>3</v>
      </c>
      <c r="F90" s="4" t="s">
        <v>345</v>
      </c>
      <c r="G90" s="22" t="s">
        <v>346</v>
      </c>
      <c r="H90" s="11" t="s">
        <v>21</v>
      </c>
      <c r="I90" s="11" t="s">
        <v>21</v>
      </c>
      <c r="J90" s="11" t="s">
        <v>347</v>
      </c>
      <c r="K90" s="11" t="s">
        <v>21</v>
      </c>
      <c r="L90" s="5" t="s">
        <v>31</v>
      </c>
      <c r="M90" s="305"/>
      <c r="N90" s="314"/>
      <c r="O90" s="314"/>
      <c r="P90" s="275" t="s">
        <v>2584</v>
      </c>
    </row>
    <row r="91" spans="1:16" ht="79.05" hidden="1" customHeight="1">
      <c r="A91" s="23" t="s">
        <v>280</v>
      </c>
      <c r="B91" s="3" t="s">
        <v>281</v>
      </c>
      <c r="C91" s="3" t="s">
        <v>323</v>
      </c>
      <c r="D91" s="8" t="s">
        <v>40</v>
      </c>
      <c r="E91" s="3">
        <v>3</v>
      </c>
      <c r="F91" s="4" t="s">
        <v>348</v>
      </c>
      <c r="G91" s="22" t="s">
        <v>349</v>
      </c>
      <c r="H91" s="11" t="s">
        <v>21</v>
      </c>
      <c r="I91" s="11" t="s">
        <v>21</v>
      </c>
      <c r="J91" s="11" t="s">
        <v>350</v>
      </c>
      <c r="K91" s="11" t="s">
        <v>21</v>
      </c>
      <c r="L91" s="5" t="s">
        <v>31</v>
      </c>
      <c r="M91" s="305"/>
      <c r="N91" s="314"/>
      <c r="O91" s="314"/>
      <c r="P91" s="275" t="s">
        <v>2584</v>
      </c>
    </row>
    <row r="92" spans="1:16" ht="55.2" hidden="1">
      <c r="A92" s="23" t="s">
        <v>280</v>
      </c>
      <c r="B92" s="3" t="s">
        <v>281</v>
      </c>
      <c r="C92" s="3" t="s">
        <v>323</v>
      </c>
      <c r="D92" s="8" t="s">
        <v>40</v>
      </c>
      <c r="E92" s="3">
        <v>3</v>
      </c>
      <c r="F92" s="4" t="s">
        <v>351</v>
      </c>
      <c r="G92" s="22" t="s">
        <v>352</v>
      </c>
      <c r="H92" s="11" t="s">
        <v>27</v>
      </c>
      <c r="I92" s="15" t="s">
        <v>353</v>
      </c>
      <c r="J92" s="15" t="s">
        <v>354</v>
      </c>
      <c r="K92" s="5" t="s">
        <v>30</v>
      </c>
      <c r="L92" s="5" t="s">
        <v>2572</v>
      </c>
      <c r="M92" s="305"/>
      <c r="N92" s="310" t="s">
        <v>2602</v>
      </c>
      <c r="O92" s="310" t="s">
        <v>2560</v>
      </c>
      <c r="P92" s="275" t="s">
        <v>2584</v>
      </c>
    </row>
    <row r="93" spans="1:16" ht="76.05" hidden="1" customHeight="1">
      <c r="A93" s="23" t="s">
        <v>280</v>
      </c>
      <c r="B93" s="3" t="s">
        <v>281</v>
      </c>
      <c r="C93" s="3" t="s">
        <v>323</v>
      </c>
      <c r="D93" s="8" t="s">
        <v>40</v>
      </c>
      <c r="E93" s="3">
        <v>3</v>
      </c>
      <c r="F93" s="4" t="s">
        <v>355</v>
      </c>
      <c r="G93" s="22" t="s">
        <v>356</v>
      </c>
      <c r="H93" s="11" t="s">
        <v>21</v>
      </c>
      <c r="I93" s="15" t="s">
        <v>21</v>
      </c>
      <c r="J93" s="15" t="s">
        <v>357</v>
      </c>
      <c r="K93" s="11" t="s">
        <v>21</v>
      </c>
      <c r="L93" s="5" t="s">
        <v>31</v>
      </c>
      <c r="M93" s="305"/>
      <c r="N93" s="309"/>
      <c r="O93" s="309"/>
      <c r="P93" s="275" t="s">
        <v>2584</v>
      </c>
    </row>
    <row r="94" spans="1:16" ht="55.2" hidden="1">
      <c r="A94" s="23" t="s">
        <v>280</v>
      </c>
      <c r="B94" s="3" t="s">
        <v>281</v>
      </c>
      <c r="C94" s="3" t="s">
        <v>323</v>
      </c>
      <c r="D94" s="8" t="s">
        <v>40</v>
      </c>
      <c r="E94" s="3">
        <v>3</v>
      </c>
      <c r="F94" s="4" t="s">
        <v>358</v>
      </c>
      <c r="G94" s="22" t="s">
        <v>359</v>
      </c>
      <c r="H94" s="11" t="s">
        <v>55</v>
      </c>
      <c r="I94" s="15" t="s">
        <v>336</v>
      </c>
      <c r="J94" s="15" t="s">
        <v>360</v>
      </c>
      <c r="K94" s="5" t="s">
        <v>31</v>
      </c>
      <c r="L94" s="5" t="s">
        <v>31</v>
      </c>
      <c r="M94" s="305">
        <v>1</v>
      </c>
      <c r="N94" s="309"/>
      <c r="O94" s="309"/>
      <c r="P94" s="275" t="s">
        <v>2584</v>
      </c>
    </row>
    <row r="95" spans="1:16" ht="55.2" hidden="1">
      <c r="A95" s="23" t="s">
        <v>280</v>
      </c>
      <c r="B95" s="3" t="s">
        <v>281</v>
      </c>
      <c r="C95" s="3" t="s">
        <v>323</v>
      </c>
      <c r="D95" s="8" t="s">
        <v>40</v>
      </c>
      <c r="E95" s="3">
        <v>3</v>
      </c>
      <c r="F95" s="4" t="s">
        <v>361</v>
      </c>
      <c r="G95" s="22" t="s">
        <v>362</v>
      </c>
      <c r="H95" s="11" t="s">
        <v>27</v>
      </c>
      <c r="I95" s="15" t="s">
        <v>340</v>
      </c>
      <c r="J95" s="15" t="s">
        <v>363</v>
      </c>
      <c r="K95" s="5" t="s">
        <v>31</v>
      </c>
      <c r="L95" s="5" t="s">
        <v>31</v>
      </c>
      <c r="M95" s="305">
        <v>1</v>
      </c>
      <c r="N95" s="309"/>
      <c r="O95" s="309"/>
      <c r="P95" s="275" t="s">
        <v>2584</v>
      </c>
    </row>
    <row r="96" spans="1:16" ht="27.6" hidden="1">
      <c r="A96" s="23" t="s">
        <v>280</v>
      </c>
      <c r="B96" s="3" t="s">
        <v>281</v>
      </c>
      <c r="C96" s="3" t="s">
        <v>323</v>
      </c>
      <c r="D96" s="8" t="s">
        <v>40</v>
      </c>
      <c r="E96" s="3">
        <v>3</v>
      </c>
      <c r="F96" s="4" t="s">
        <v>364</v>
      </c>
      <c r="G96" s="22" t="s">
        <v>365</v>
      </c>
      <c r="H96" s="11" t="s">
        <v>55</v>
      </c>
      <c r="I96" s="15" t="s">
        <v>366</v>
      </c>
      <c r="J96" s="15" t="s">
        <v>367</v>
      </c>
      <c r="K96" s="5" t="s">
        <v>31</v>
      </c>
      <c r="L96" s="5" t="s">
        <v>31</v>
      </c>
      <c r="M96" s="305"/>
      <c r="N96" s="309"/>
      <c r="O96" s="309"/>
      <c r="P96" s="275" t="s">
        <v>2584</v>
      </c>
    </row>
    <row r="97" spans="1:16" ht="409.6" hidden="1">
      <c r="A97" s="23" t="s">
        <v>280</v>
      </c>
      <c r="B97" s="3" t="s">
        <v>281</v>
      </c>
      <c r="C97" s="3" t="s">
        <v>323</v>
      </c>
      <c r="D97" s="9" t="s">
        <v>48</v>
      </c>
      <c r="E97" s="3">
        <v>4</v>
      </c>
      <c r="F97" s="4" t="s">
        <v>368</v>
      </c>
      <c r="G97" s="22" t="s">
        <v>369</v>
      </c>
      <c r="H97" s="11" t="s">
        <v>55</v>
      </c>
      <c r="I97" s="15" t="s">
        <v>370</v>
      </c>
      <c r="J97" s="15" t="s">
        <v>371</v>
      </c>
      <c r="K97" s="5" t="s">
        <v>31</v>
      </c>
      <c r="L97" s="5" t="s">
        <v>31</v>
      </c>
      <c r="M97" s="305">
        <v>1</v>
      </c>
      <c r="N97" s="309"/>
      <c r="O97" s="309"/>
      <c r="P97" s="275" t="s">
        <v>2584</v>
      </c>
    </row>
    <row r="98" spans="1:16" ht="66.45" hidden="1" customHeight="1">
      <c r="A98" s="23" t="s">
        <v>280</v>
      </c>
      <c r="B98" s="3" t="s">
        <v>281</v>
      </c>
      <c r="C98" s="3" t="s">
        <v>323</v>
      </c>
      <c r="D98" s="9" t="s">
        <v>48</v>
      </c>
      <c r="E98" s="3">
        <v>4</v>
      </c>
      <c r="F98" s="4" t="s">
        <v>372</v>
      </c>
      <c r="G98" s="22" t="s">
        <v>373</v>
      </c>
      <c r="H98" s="11" t="s">
        <v>21</v>
      </c>
      <c r="I98" s="15" t="s">
        <v>21</v>
      </c>
      <c r="J98" s="15" t="s">
        <v>374</v>
      </c>
      <c r="K98" s="11" t="s">
        <v>21</v>
      </c>
      <c r="L98" s="5" t="s">
        <v>31</v>
      </c>
      <c r="M98" s="305"/>
      <c r="N98" s="309"/>
      <c r="O98" s="309"/>
      <c r="P98" s="275" t="s">
        <v>2584</v>
      </c>
    </row>
    <row r="99" spans="1:16" ht="110.4" hidden="1">
      <c r="A99" s="23" t="s">
        <v>280</v>
      </c>
      <c r="B99" s="3" t="s">
        <v>281</v>
      </c>
      <c r="C99" s="3" t="s">
        <v>323</v>
      </c>
      <c r="D99" s="10" t="s">
        <v>52</v>
      </c>
      <c r="E99" s="3">
        <v>5</v>
      </c>
      <c r="F99" s="34" t="s">
        <v>375</v>
      </c>
      <c r="G99" s="41" t="s">
        <v>376</v>
      </c>
      <c r="H99" s="11" t="s">
        <v>21</v>
      </c>
      <c r="I99" s="15" t="s">
        <v>21</v>
      </c>
      <c r="J99" s="15" t="s">
        <v>377</v>
      </c>
      <c r="K99" s="11" t="s">
        <v>21</v>
      </c>
      <c r="L99" s="5" t="s">
        <v>31</v>
      </c>
      <c r="M99" s="305"/>
      <c r="N99" s="309"/>
      <c r="O99" s="309"/>
      <c r="P99" s="275" t="s">
        <v>2584</v>
      </c>
    </row>
    <row r="100" spans="1:16" ht="55.2" hidden="1">
      <c r="A100" s="23" t="s">
        <v>280</v>
      </c>
      <c r="B100" s="3" t="s">
        <v>281</v>
      </c>
      <c r="C100" s="3" t="s">
        <v>378</v>
      </c>
      <c r="D100" s="6" t="s">
        <v>18</v>
      </c>
      <c r="E100" s="3">
        <v>1</v>
      </c>
      <c r="F100" s="4" t="s">
        <v>379</v>
      </c>
      <c r="G100" s="22" t="s">
        <v>380</v>
      </c>
      <c r="H100" s="11" t="s">
        <v>21</v>
      </c>
      <c r="I100" s="15" t="s">
        <v>21</v>
      </c>
      <c r="J100" s="15" t="s">
        <v>381</v>
      </c>
      <c r="K100" s="11" t="s">
        <v>21</v>
      </c>
      <c r="L100" s="5" t="s">
        <v>23</v>
      </c>
      <c r="M100" s="305"/>
      <c r="N100" s="309"/>
      <c r="O100" s="309" t="s">
        <v>2512</v>
      </c>
      <c r="P100" s="275" t="s">
        <v>2584</v>
      </c>
    </row>
    <row r="101" spans="1:16" ht="166.05" hidden="1" customHeight="1">
      <c r="A101" s="23" t="s">
        <v>280</v>
      </c>
      <c r="B101" s="3" t="s">
        <v>281</v>
      </c>
      <c r="C101" s="3" t="s">
        <v>378</v>
      </c>
      <c r="D101" s="7" t="s">
        <v>24</v>
      </c>
      <c r="E101" s="3">
        <v>2</v>
      </c>
      <c r="F101" s="4" t="s">
        <v>382</v>
      </c>
      <c r="G101" s="22" t="s">
        <v>383</v>
      </c>
      <c r="H101" s="11" t="s">
        <v>27</v>
      </c>
      <c r="I101" s="15" t="s">
        <v>384</v>
      </c>
      <c r="J101" s="15" t="s">
        <v>385</v>
      </c>
      <c r="K101" s="5" t="s">
        <v>23</v>
      </c>
      <c r="L101" s="5" t="s">
        <v>23</v>
      </c>
      <c r="M101" s="305"/>
      <c r="N101" s="309"/>
      <c r="O101" s="309" t="s">
        <v>2561</v>
      </c>
      <c r="P101" s="275" t="s">
        <v>2597</v>
      </c>
    </row>
    <row r="102" spans="1:16" ht="165.6" hidden="1">
      <c r="A102" s="23" t="s">
        <v>280</v>
      </c>
      <c r="B102" s="3" t="s">
        <v>281</v>
      </c>
      <c r="C102" s="3" t="s">
        <v>378</v>
      </c>
      <c r="D102" s="7" t="s">
        <v>24</v>
      </c>
      <c r="E102" s="3">
        <v>2</v>
      </c>
      <c r="F102" s="4" t="s">
        <v>386</v>
      </c>
      <c r="G102" s="22" t="s">
        <v>387</v>
      </c>
      <c r="H102" s="11" t="s">
        <v>27</v>
      </c>
      <c r="I102" s="15" t="s">
        <v>388</v>
      </c>
      <c r="J102" s="15" t="s">
        <v>389</v>
      </c>
      <c r="K102" s="5" t="s">
        <v>31</v>
      </c>
      <c r="L102" s="5" t="s">
        <v>31</v>
      </c>
      <c r="M102" s="305"/>
      <c r="N102" s="309" t="s">
        <v>2562</v>
      </c>
      <c r="O102" s="309" t="s">
        <v>2561</v>
      </c>
      <c r="P102" s="275" t="s">
        <v>2597</v>
      </c>
    </row>
    <row r="103" spans="1:16" ht="104.55" hidden="1" customHeight="1">
      <c r="A103" s="23" t="s">
        <v>280</v>
      </c>
      <c r="B103" s="3" t="s">
        <v>281</v>
      </c>
      <c r="C103" s="3" t="s">
        <v>378</v>
      </c>
      <c r="D103" s="8" t="s">
        <v>40</v>
      </c>
      <c r="E103" s="3">
        <v>3</v>
      </c>
      <c r="F103" s="4" t="s">
        <v>390</v>
      </c>
      <c r="G103" s="22" t="s">
        <v>391</v>
      </c>
      <c r="H103" s="11" t="s">
        <v>21</v>
      </c>
      <c r="I103" s="15" t="s">
        <v>21</v>
      </c>
      <c r="J103" s="15" t="s">
        <v>392</v>
      </c>
      <c r="K103" s="11" t="s">
        <v>21</v>
      </c>
      <c r="L103" s="5" t="s">
        <v>31</v>
      </c>
      <c r="M103" s="305"/>
      <c r="N103" s="309"/>
      <c r="O103" s="309"/>
      <c r="P103" s="275" t="s">
        <v>2597</v>
      </c>
    </row>
    <row r="104" spans="1:16" ht="123.45" hidden="1" customHeight="1">
      <c r="A104" s="23" t="s">
        <v>280</v>
      </c>
      <c r="B104" s="3" t="s">
        <v>281</v>
      </c>
      <c r="C104" s="3" t="s">
        <v>378</v>
      </c>
      <c r="D104" s="8" t="s">
        <v>40</v>
      </c>
      <c r="E104" s="3">
        <v>3</v>
      </c>
      <c r="F104" s="4" t="s">
        <v>393</v>
      </c>
      <c r="G104" s="22" t="s">
        <v>394</v>
      </c>
      <c r="H104" s="11" t="s">
        <v>55</v>
      </c>
      <c r="I104" s="15" t="s">
        <v>395</v>
      </c>
      <c r="J104" s="15" t="s">
        <v>396</v>
      </c>
      <c r="K104" s="5" t="s">
        <v>31</v>
      </c>
      <c r="L104" s="5" t="s">
        <v>31</v>
      </c>
      <c r="M104" s="305"/>
      <c r="N104" s="309"/>
      <c r="O104" s="309"/>
      <c r="P104" s="275" t="s">
        <v>2597</v>
      </c>
    </row>
    <row r="105" spans="1:16" ht="386.4" hidden="1">
      <c r="A105" s="23" t="s">
        <v>280</v>
      </c>
      <c r="B105" s="3" t="s">
        <v>281</v>
      </c>
      <c r="C105" s="3" t="s">
        <v>378</v>
      </c>
      <c r="D105" s="9" t="s">
        <v>48</v>
      </c>
      <c r="E105" s="3">
        <v>4</v>
      </c>
      <c r="F105" s="4" t="s">
        <v>397</v>
      </c>
      <c r="G105" s="22" t="s">
        <v>398</v>
      </c>
      <c r="H105" s="11" t="s">
        <v>55</v>
      </c>
      <c r="I105" s="15" t="s">
        <v>399</v>
      </c>
      <c r="J105" s="15" t="s">
        <v>400</v>
      </c>
      <c r="K105" s="5" t="s">
        <v>31</v>
      </c>
      <c r="L105" s="5" t="s">
        <v>31</v>
      </c>
      <c r="M105" s="305">
        <v>1</v>
      </c>
      <c r="N105" s="309"/>
      <c r="O105" s="309"/>
      <c r="P105" s="275" t="s">
        <v>2597</v>
      </c>
    </row>
    <row r="106" spans="1:16" ht="55.2" hidden="1">
      <c r="A106" s="23" t="s">
        <v>280</v>
      </c>
      <c r="B106" s="3" t="s">
        <v>281</v>
      </c>
      <c r="C106" s="3" t="s">
        <v>378</v>
      </c>
      <c r="D106" s="12" t="s">
        <v>48</v>
      </c>
      <c r="E106" s="3">
        <v>4</v>
      </c>
      <c r="F106" s="4" t="s">
        <v>401</v>
      </c>
      <c r="G106" s="22" t="s">
        <v>402</v>
      </c>
      <c r="H106" s="11" t="s">
        <v>181</v>
      </c>
      <c r="I106" s="15" t="s">
        <v>403</v>
      </c>
      <c r="J106" s="15" t="s">
        <v>404</v>
      </c>
      <c r="K106" s="5" t="s">
        <v>31</v>
      </c>
      <c r="L106" s="5" t="s">
        <v>31</v>
      </c>
      <c r="M106" s="305"/>
      <c r="N106" s="309"/>
      <c r="O106" s="309"/>
      <c r="P106" s="275" t="s">
        <v>2597</v>
      </c>
    </row>
    <row r="107" spans="1:16" ht="82.8" hidden="1">
      <c r="A107" s="23" t="s">
        <v>280</v>
      </c>
      <c r="B107" s="3" t="s">
        <v>281</v>
      </c>
      <c r="C107" s="3" t="s">
        <v>378</v>
      </c>
      <c r="D107" s="10" t="s">
        <v>52</v>
      </c>
      <c r="E107" s="3">
        <v>5</v>
      </c>
      <c r="F107" s="4" t="s">
        <v>405</v>
      </c>
      <c r="G107" s="22" t="s">
        <v>406</v>
      </c>
      <c r="H107" s="11" t="s">
        <v>21</v>
      </c>
      <c r="I107" s="15" t="s">
        <v>21</v>
      </c>
      <c r="J107" s="15" t="s">
        <v>407</v>
      </c>
      <c r="K107" s="11" t="s">
        <v>21</v>
      </c>
      <c r="L107" s="5" t="s">
        <v>31</v>
      </c>
      <c r="M107" s="305"/>
      <c r="N107" s="309"/>
      <c r="O107" s="309"/>
      <c r="P107" s="275" t="s">
        <v>2597</v>
      </c>
    </row>
    <row r="108" spans="1:16" ht="69" hidden="1">
      <c r="A108" s="23" t="s">
        <v>280</v>
      </c>
      <c r="B108" s="3" t="s">
        <v>281</v>
      </c>
      <c r="C108" s="3" t="s">
        <v>378</v>
      </c>
      <c r="D108" s="10" t="s">
        <v>52</v>
      </c>
      <c r="E108" s="3">
        <v>5</v>
      </c>
      <c r="F108" s="4" t="s">
        <v>408</v>
      </c>
      <c r="G108" s="22" t="s">
        <v>409</v>
      </c>
      <c r="H108" s="11" t="s">
        <v>21</v>
      </c>
      <c r="I108" s="15" t="s">
        <v>21</v>
      </c>
      <c r="J108" s="15" t="s">
        <v>410</v>
      </c>
      <c r="K108" s="11" t="s">
        <v>21</v>
      </c>
      <c r="L108" s="5" t="s">
        <v>31</v>
      </c>
      <c r="M108" s="305"/>
      <c r="N108" s="309"/>
      <c r="O108" s="309"/>
      <c r="P108" s="275" t="s">
        <v>2597</v>
      </c>
    </row>
    <row r="109" spans="1:16" ht="41.4" hidden="1">
      <c r="A109" s="23" t="s">
        <v>280</v>
      </c>
      <c r="B109" s="3" t="s">
        <v>281</v>
      </c>
      <c r="C109" s="3" t="s">
        <v>411</v>
      </c>
      <c r="D109" s="6" t="s">
        <v>18</v>
      </c>
      <c r="E109" s="3">
        <v>1</v>
      </c>
      <c r="F109" s="4" t="s">
        <v>412</v>
      </c>
      <c r="G109" s="22" t="s">
        <v>413</v>
      </c>
      <c r="H109" s="11" t="s">
        <v>21</v>
      </c>
      <c r="I109" s="15" t="s">
        <v>21</v>
      </c>
      <c r="J109" s="15" t="s">
        <v>414</v>
      </c>
      <c r="K109" s="11" t="s">
        <v>21</v>
      </c>
      <c r="L109" s="5" t="s">
        <v>23</v>
      </c>
      <c r="M109" s="305"/>
      <c r="N109" s="309"/>
      <c r="O109" s="309" t="s">
        <v>2512</v>
      </c>
      <c r="P109" s="275" t="s">
        <v>2592</v>
      </c>
    </row>
    <row r="110" spans="1:16" ht="55.2" hidden="1">
      <c r="A110" s="23" t="s">
        <v>280</v>
      </c>
      <c r="B110" s="3" t="s">
        <v>281</v>
      </c>
      <c r="C110" s="3" t="s">
        <v>411</v>
      </c>
      <c r="D110" s="7" t="s">
        <v>24</v>
      </c>
      <c r="E110" s="3">
        <v>2</v>
      </c>
      <c r="F110" s="4" t="s">
        <v>415</v>
      </c>
      <c r="G110" s="22" t="s">
        <v>416</v>
      </c>
      <c r="H110" s="11" t="s">
        <v>55</v>
      </c>
      <c r="I110" s="15" t="s">
        <v>417</v>
      </c>
      <c r="J110" s="15" t="s">
        <v>418</v>
      </c>
      <c r="K110" s="5" t="s">
        <v>31</v>
      </c>
      <c r="L110" s="5" t="s">
        <v>31</v>
      </c>
      <c r="M110" s="305">
        <v>1</v>
      </c>
      <c r="N110" s="309" t="s">
        <v>2538</v>
      </c>
      <c r="O110" s="309" t="s">
        <v>2560</v>
      </c>
      <c r="P110" s="275" t="s">
        <v>2592</v>
      </c>
    </row>
    <row r="111" spans="1:16" ht="41.4" hidden="1">
      <c r="A111" s="23" t="s">
        <v>280</v>
      </c>
      <c r="B111" s="3" t="s">
        <v>281</v>
      </c>
      <c r="C111" s="3" t="s">
        <v>411</v>
      </c>
      <c r="D111" s="7" t="s">
        <v>24</v>
      </c>
      <c r="E111" s="3">
        <v>2</v>
      </c>
      <c r="F111" s="4" t="s">
        <v>419</v>
      </c>
      <c r="G111" s="22" t="s">
        <v>420</v>
      </c>
      <c r="H111" s="11" t="s">
        <v>55</v>
      </c>
      <c r="I111" s="15" t="s">
        <v>421</v>
      </c>
      <c r="J111" s="15" t="s">
        <v>422</v>
      </c>
      <c r="K111" s="5" t="s">
        <v>31</v>
      </c>
      <c r="L111" s="5" t="s">
        <v>31</v>
      </c>
      <c r="M111" s="305">
        <v>1</v>
      </c>
      <c r="N111" s="309"/>
      <c r="O111" s="309"/>
      <c r="P111" s="275" t="s">
        <v>2592</v>
      </c>
    </row>
    <row r="112" spans="1:16" ht="27.6" hidden="1">
      <c r="A112" s="23" t="s">
        <v>280</v>
      </c>
      <c r="B112" s="3" t="s">
        <v>281</v>
      </c>
      <c r="C112" s="3" t="s">
        <v>411</v>
      </c>
      <c r="D112" s="7" t="s">
        <v>24</v>
      </c>
      <c r="E112" s="3">
        <v>2</v>
      </c>
      <c r="F112" s="4" t="s">
        <v>423</v>
      </c>
      <c r="G112" s="22" t="s">
        <v>424</v>
      </c>
      <c r="H112" s="11" t="s">
        <v>21</v>
      </c>
      <c r="I112" s="15" t="s">
        <v>21</v>
      </c>
      <c r="J112" s="15" t="s">
        <v>425</v>
      </c>
      <c r="K112" s="11" t="s">
        <v>21</v>
      </c>
      <c r="L112" s="5" t="s">
        <v>31</v>
      </c>
      <c r="M112" s="305"/>
      <c r="N112" s="309"/>
      <c r="O112" s="309"/>
      <c r="P112" s="275" t="s">
        <v>2584</v>
      </c>
    </row>
    <row r="113" spans="1:16" ht="82.8" hidden="1">
      <c r="A113" s="23" t="s">
        <v>280</v>
      </c>
      <c r="B113" s="3" t="s">
        <v>281</v>
      </c>
      <c r="C113" s="3" t="s">
        <v>411</v>
      </c>
      <c r="D113" s="7" t="s">
        <v>24</v>
      </c>
      <c r="E113" s="3">
        <v>2</v>
      </c>
      <c r="F113" s="4" t="s">
        <v>426</v>
      </c>
      <c r="G113" s="22" t="s">
        <v>427</v>
      </c>
      <c r="H113" s="11" t="s">
        <v>21</v>
      </c>
      <c r="I113" s="15" t="s">
        <v>21</v>
      </c>
      <c r="J113" s="15" t="s">
        <v>428</v>
      </c>
      <c r="K113" s="11" t="s">
        <v>21</v>
      </c>
      <c r="L113" s="5" t="s">
        <v>31</v>
      </c>
      <c r="M113" s="305"/>
      <c r="N113" s="309"/>
      <c r="O113" s="309"/>
      <c r="P113" s="275" t="s">
        <v>2646</v>
      </c>
    </row>
    <row r="114" spans="1:16" ht="400.2" hidden="1">
      <c r="A114" s="23" t="s">
        <v>280</v>
      </c>
      <c r="B114" s="3" t="s">
        <v>281</v>
      </c>
      <c r="C114" s="3" t="s">
        <v>411</v>
      </c>
      <c r="D114" s="8" t="s">
        <v>40</v>
      </c>
      <c r="E114" s="3">
        <v>3</v>
      </c>
      <c r="F114" s="4" t="s">
        <v>429</v>
      </c>
      <c r="G114" s="22" t="s">
        <v>430</v>
      </c>
      <c r="H114" s="11" t="s">
        <v>21</v>
      </c>
      <c r="I114" s="15" t="s">
        <v>21</v>
      </c>
      <c r="J114" s="15" t="s">
        <v>431</v>
      </c>
      <c r="K114" s="11" t="s">
        <v>21</v>
      </c>
      <c r="L114" s="5" t="s">
        <v>31</v>
      </c>
      <c r="M114" s="305"/>
      <c r="N114" s="309"/>
      <c r="O114" s="309"/>
      <c r="P114" s="275" t="s">
        <v>2646</v>
      </c>
    </row>
    <row r="115" spans="1:16" ht="207" hidden="1">
      <c r="A115" s="23" t="s">
        <v>280</v>
      </c>
      <c r="B115" s="3" t="s">
        <v>281</v>
      </c>
      <c r="C115" s="3" t="s">
        <v>411</v>
      </c>
      <c r="D115" s="8" t="s">
        <v>40</v>
      </c>
      <c r="E115" s="3">
        <v>3</v>
      </c>
      <c r="F115" s="4" t="s">
        <v>432</v>
      </c>
      <c r="G115" s="22" t="s">
        <v>433</v>
      </c>
      <c r="H115" s="11" t="s">
        <v>55</v>
      </c>
      <c r="I115" s="15" t="s">
        <v>417</v>
      </c>
      <c r="J115" s="15" t="s">
        <v>418</v>
      </c>
      <c r="K115" s="5" t="s">
        <v>31</v>
      </c>
      <c r="L115" s="5" t="s">
        <v>31</v>
      </c>
      <c r="M115" s="305">
        <v>1</v>
      </c>
      <c r="N115" s="309"/>
      <c r="O115" s="309"/>
      <c r="P115" s="275" t="s">
        <v>2592</v>
      </c>
    </row>
    <row r="116" spans="1:16" ht="179.4" hidden="1">
      <c r="A116" s="23" t="s">
        <v>280</v>
      </c>
      <c r="B116" s="3" t="s">
        <v>281</v>
      </c>
      <c r="C116" s="3" t="s">
        <v>411</v>
      </c>
      <c r="D116" s="8" t="s">
        <v>40</v>
      </c>
      <c r="E116" s="3">
        <v>3</v>
      </c>
      <c r="F116" s="4" t="s">
        <v>434</v>
      </c>
      <c r="G116" s="22" t="s">
        <v>435</v>
      </c>
      <c r="H116" s="11" t="s">
        <v>55</v>
      </c>
      <c r="I116" s="15" t="s">
        <v>421</v>
      </c>
      <c r="J116" s="15" t="s">
        <v>436</v>
      </c>
      <c r="K116" s="5" t="s">
        <v>31</v>
      </c>
      <c r="L116" s="5" t="s">
        <v>31</v>
      </c>
      <c r="M116" s="305">
        <v>1</v>
      </c>
      <c r="N116" s="309"/>
      <c r="O116" s="309"/>
      <c r="P116" s="275" t="s">
        <v>2592</v>
      </c>
    </row>
    <row r="117" spans="1:16" ht="358.8" hidden="1">
      <c r="A117" s="23" t="s">
        <v>280</v>
      </c>
      <c r="B117" s="3" t="s">
        <v>281</v>
      </c>
      <c r="C117" s="3" t="s">
        <v>411</v>
      </c>
      <c r="D117" s="12" t="s">
        <v>48</v>
      </c>
      <c r="E117" s="3">
        <v>4</v>
      </c>
      <c r="F117" s="4" t="s">
        <v>437</v>
      </c>
      <c r="G117" s="22" t="s">
        <v>438</v>
      </c>
      <c r="H117" s="11" t="s">
        <v>21</v>
      </c>
      <c r="I117" s="15" t="s">
        <v>21</v>
      </c>
      <c r="J117" s="15" t="s">
        <v>439</v>
      </c>
      <c r="K117" s="11" t="s">
        <v>21</v>
      </c>
      <c r="L117" s="5" t="s">
        <v>31</v>
      </c>
      <c r="M117" s="305"/>
      <c r="N117" s="309"/>
      <c r="O117" s="309"/>
      <c r="P117" s="275" t="s">
        <v>2592</v>
      </c>
    </row>
    <row r="118" spans="1:16" ht="69" hidden="1">
      <c r="A118" s="23" t="s">
        <v>280</v>
      </c>
      <c r="B118" s="3" t="s">
        <v>281</v>
      </c>
      <c r="C118" s="3" t="s">
        <v>411</v>
      </c>
      <c r="D118" s="10" t="s">
        <v>52</v>
      </c>
      <c r="E118" s="3">
        <v>5</v>
      </c>
      <c r="F118" s="4" t="s">
        <v>440</v>
      </c>
      <c r="G118" s="22" t="s">
        <v>441</v>
      </c>
      <c r="H118" s="11" t="s">
        <v>21</v>
      </c>
      <c r="I118" s="15" t="s">
        <v>21</v>
      </c>
      <c r="J118" s="15" t="s">
        <v>442</v>
      </c>
      <c r="K118" s="11" t="s">
        <v>21</v>
      </c>
      <c r="L118" s="5" t="s">
        <v>31</v>
      </c>
      <c r="M118" s="305"/>
      <c r="N118" s="309"/>
      <c r="O118" s="309"/>
      <c r="P118" s="275" t="s">
        <v>2592</v>
      </c>
    </row>
    <row r="119" spans="1:16" ht="82.8" hidden="1">
      <c r="A119" s="3" t="s">
        <v>443</v>
      </c>
      <c r="B119" s="3" t="s">
        <v>444</v>
      </c>
      <c r="C119" s="3" t="s">
        <v>445</v>
      </c>
      <c r="D119" s="6" t="s">
        <v>18</v>
      </c>
      <c r="E119" s="3">
        <v>1</v>
      </c>
      <c r="F119" s="22" t="s">
        <v>446</v>
      </c>
      <c r="G119" s="22" t="s">
        <v>447</v>
      </c>
      <c r="H119" s="11" t="s">
        <v>21</v>
      </c>
      <c r="I119" s="15" t="s">
        <v>21</v>
      </c>
      <c r="J119" s="15" t="s">
        <v>448</v>
      </c>
      <c r="K119" s="11" t="s">
        <v>21</v>
      </c>
      <c r="L119" s="5" t="s">
        <v>23</v>
      </c>
      <c r="M119" s="305"/>
      <c r="N119" s="309"/>
      <c r="O119" s="309" t="s">
        <v>2503</v>
      </c>
      <c r="P119" s="275" t="s">
        <v>2645</v>
      </c>
    </row>
    <row r="120" spans="1:16" ht="110.4" hidden="1">
      <c r="A120" s="3" t="s">
        <v>443</v>
      </c>
      <c r="B120" s="3" t="s">
        <v>444</v>
      </c>
      <c r="C120" s="3" t="s">
        <v>445</v>
      </c>
      <c r="D120" s="7" t="s">
        <v>24</v>
      </c>
      <c r="E120" s="3">
        <v>2</v>
      </c>
      <c r="F120" s="22" t="s">
        <v>449</v>
      </c>
      <c r="G120" s="22" t="s">
        <v>450</v>
      </c>
      <c r="H120" s="11" t="s">
        <v>27</v>
      </c>
      <c r="I120" s="15" t="s">
        <v>451</v>
      </c>
      <c r="J120" s="15" t="s">
        <v>452</v>
      </c>
      <c r="K120" s="5" t="s">
        <v>23</v>
      </c>
      <c r="L120" s="5" t="s">
        <v>23</v>
      </c>
      <c r="M120" s="305"/>
      <c r="N120" s="310"/>
      <c r="O120" s="310" t="s">
        <v>2504</v>
      </c>
      <c r="P120" s="275" t="s">
        <v>2643</v>
      </c>
    </row>
    <row r="121" spans="1:16" ht="179.4" hidden="1">
      <c r="A121" s="3" t="s">
        <v>443</v>
      </c>
      <c r="B121" s="3" t="s">
        <v>444</v>
      </c>
      <c r="C121" s="3" t="s">
        <v>445</v>
      </c>
      <c r="D121" s="8" t="s">
        <v>40</v>
      </c>
      <c r="E121" s="3">
        <v>3</v>
      </c>
      <c r="F121" s="22" t="s">
        <v>453</v>
      </c>
      <c r="G121" s="22" t="s">
        <v>454</v>
      </c>
      <c r="H121" s="11" t="s">
        <v>21</v>
      </c>
      <c r="I121" s="5" t="s">
        <v>21</v>
      </c>
      <c r="J121" s="15" t="s">
        <v>455</v>
      </c>
      <c r="K121" s="11" t="s">
        <v>21</v>
      </c>
      <c r="L121" s="5" t="s">
        <v>31</v>
      </c>
      <c r="M121" s="305"/>
      <c r="N121" s="309"/>
      <c r="O121" s="309"/>
      <c r="P121" s="275" t="s">
        <v>2596</v>
      </c>
    </row>
    <row r="122" spans="1:16" ht="124.5" hidden="1" customHeight="1">
      <c r="A122" s="3" t="s">
        <v>443</v>
      </c>
      <c r="B122" s="3" t="s">
        <v>444</v>
      </c>
      <c r="C122" s="3" t="s">
        <v>445</v>
      </c>
      <c r="D122" s="8" t="s">
        <v>40</v>
      </c>
      <c r="E122" s="3">
        <v>3</v>
      </c>
      <c r="F122" s="22" t="s">
        <v>456</v>
      </c>
      <c r="G122" s="22" t="s">
        <v>457</v>
      </c>
      <c r="H122" s="11" t="s">
        <v>21</v>
      </c>
      <c r="I122" s="5" t="s">
        <v>21</v>
      </c>
      <c r="J122" s="5" t="s">
        <v>458</v>
      </c>
      <c r="K122" s="11" t="s">
        <v>21</v>
      </c>
      <c r="L122" s="5" t="s">
        <v>31</v>
      </c>
      <c r="M122" s="305"/>
      <c r="N122" s="309" t="s">
        <v>2540</v>
      </c>
      <c r="O122" s="309" t="s">
        <v>2539</v>
      </c>
      <c r="P122" s="275" t="s">
        <v>2596</v>
      </c>
    </row>
    <row r="123" spans="1:16" ht="111" hidden="1" customHeight="1">
      <c r="A123" s="3" t="s">
        <v>443</v>
      </c>
      <c r="B123" s="3" t="s">
        <v>444</v>
      </c>
      <c r="C123" s="3" t="s">
        <v>445</v>
      </c>
      <c r="D123" s="8" t="s">
        <v>40</v>
      </c>
      <c r="E123" s="3">
        <v>3</v>
      </c>
      <c r="F123" s="22" t="s">
        <v>459</v>
      </c>
      <c r="G123" s="22" t="s">
        <v>460</v>
      </c>
      <c r="H123" s="11" t="s">
        <v>21</v>
      </c>
      <c r="I123" s="15" t="s">
        <v>21</v>
      </c>
      <c r="J123" s="15" t="s">
        <v>461</v>
      </c>
      <c r="K123" s="11" t="s">
        <v>21</v>
      </c>
      <c r="L123" s="5" t="s">
        <v>31</v>
      </c>
      <c r="M123" s="305"/>
      <c r="N123" s="309"/>
      <c r="O123" s="309"/>
      <c r="P123" s="275" t="s">
        <v>2596</v>
      </c>
    </row>
    <row r="124" spans="1:16" ht="358.8" hidden="1">
      <c r="A124" s="3" t="s">
        <v>443</v>
      </c>
      <c r="B124" s="3" t="s">
        <v>444</v>
      </c>
      <c r="C124" s="3" t="s">
        <v>445</v>
      </c>
      <c r="D124" s="12" t="s">
        <v>48</v>
      </c>
      <c r="E124" s="3">
        <v>4</v>
      </c>
      <c r="F124" s="4" t="s">
        <v>462</v>
      </c>
      <c r="G124" s="22" t="s">
        <v>463</v>
      </c>
      <c r="H124" s="11" t="s">
        <v>21</v>
      </c>
      <c r="I124" s="15" t="s">
        <v>21</v>
      </c>
      <c r="J124" s="15" t="s">
        <v>464</v>
      </c>
      <c r="K124" s="11" t="s">
        <v>21</v>
      </c>
      <c r="L124" s="5" t="s">
        <v>31</v>
      </c>
      <c r="M124" s="305"/>
      <c r="N124" s="309"/>
      <c r="O124" s="309"/>
      <c r="P124" s="275" t="s">
        <v>2596</v>
      </c>
    </row>
    <row r="125" spans="1:16" ht="124.2" hidden="1">
      <c r="A125" s="3" t="s">
        <v>443</v>
      </c>
      <c r="B125" s="3" t="s">
        <v>444</v>
      </c>
      <c r="C125" s="3" t="s">
        <v>445</v>
      </c>
      <c r="D125" s="10" t="s">
        <v>52</v>
      </c>
      <c r="E125" s="3">
        <v>5</v>
      </c>
      <c r="F125" s="4" t="s">
        <v>465</v>
      </c>
      <c r="G125" s="22" t="s">
        <v>466</v>
      </c>
      <c r="H125" s="11" t="s">
        <v>21</v>
      </c>
      <c r="I125" s="15" t="s">
        <v>21</v>
      </c>
      <c r="J125" s="15" t="s">
        <v>467</v>
      </c>
      <c r="K125" s="11" t="s">
        <v>21</v>
      </c>
      <c r="L125" s="5" t="s">
        <v>31</v>
      </c>
      <c r="M125" s="305"/>
      <c r="N125" s="309"/>
      <c r="O125" s="309"/>
      <c r="P125" s="275" t="s">
        <v>2596</v>
      </c>
    </row>
    <row r="126" spans="1:16" ht="55.95" hidden="1" customHeight="1">
      <c r="A126" s="3" t="s">
        <v>443</v>
      </c>
      <c r="B126" s="3" t="s">
        <v>444</v>
      </c>
      <c r="C126" s="3" t="s">
        <v>468</v>
      </c>
      <c r="D126" s="6" t="s">
        <v>18</v>
      </c>
      <c r="E126" s="3">
        <v>1</v>
      </c>
      <c r="F126" s="4" t="s">
        <v>469</v>
      </c>
      <c r="G126" s="22" t="s">
        <v>470</v>
      </c>
      <c r="H126" s="11" t="s">
        <v>21</v>
      </c>
      <c r="I126" s="15" t="s">
        <v>21</v>
      </c>
      <c r="J126" s="15" t="s">
        <v>471</v>
      </c>
      <c r="K126" s="11" t="s">
        <v>21</v>
      </c>
      <c r="L126" s="5" t="s">
        <v>23</v>
      </c>
      <c r="M126" s="305"/>
      <c r="N126" s="309"/>
      <c r="O126" s="309" t="s">
        <v>2504</v>
      </c>
      <c r="P126" s="309" t="s">
        <v>2645</v>
      </c>
    </row>
    <row r="127" spans="1:16" ht="61.05" hidden="1" customHeight="1">
      <c r="A127" s="3" t="s">
        <v>443</v>
      </c>
      <c r="B127" s="3" t="s">
        <v>444</v>
      </c>
      <c r="C127" s="3" t="s">
        <v>468</v>
      </c>
      <c r="D127" s="6" t="s">
        <v>18</v>
      </c>
      <c r="E127" s="3">
        <v>1</v>
      </c>
      <c r="F127" s="4" t="s">
        <v>472</v>
      </c>
      <c r="G127" s="22" t="s">
        <v>473</v>
      </c>
      <c r="H127" s="11" t="s">
        <v>21</v>
      </c>
      <c r="I127" s="15" t="s">
        <v>21</v>
      </c>
      <c r="J127" s="15" t="s">
        <v>474</v>
      </c>
      <c r="K127" s="11" t="s">
        <v>21</v>
      </c>
      <c r="L127" s="5" t="s">
        <v>31</v>
      </c>
      <c r="M127" s="305"/>
      <c r="N127" s="310" t="s">
        <v>2541</v>
      </c>
      <c r="O127" s="310" t="s">
        <v>2542</v>
      </c>
      <c r="P127" s="309" t="s">
        <v>2645</v>
      </c>
    </row>
    <row r="128" spans="1:16" ht="70.05" hidden="1" customHeight="1">
      <c r="A128" s="3" t="s">
        <v>443</v>
      </c>
      <c r="B128" s="3" t="s">
        <v>444</v>
      </c>
      <c r="C128" s="3" t="s">
        <v>468</v>
      </c>
      <c r="D128" s="6" t="s">
        <v>18</v>
      </c>
      <c r="E128" s="3">
        <v>1</v>
      </c>
      <c r="F128" s="4" t="s">
        <v>475</v>
      </c>
      <c r="G128" s="22" t="s">
        <v>476</v>
      </c>
      <c r="H128" s="11" t="s">
        <v>21</v>
      </c>
      <c r="I128" s="15" t="s">
        <v>21</v>
      </c>
      <c r="J128" s="15" t="s">
        <v>477</v>
      </c>
      <c r="K128" s="11" t="s">
        <v>21</v>
      </c>
      <c r="L128" s="5" t="s">
        <v>31</v>
      </c>
      <c r="M128" s="305"/>
      <c r="N128" s="310" t="s">
        <v>2541</v>
      </c>
      <c r="O128" s="310" t="s">
        <v>2542</v>
      </c>
      <c r="P128" s="309" t="s">
        <v>2645</v>
      </c>
    </row>
    <row r="129" spans="1:16" ht="69" hidden="1">
      <c r="A129" s="3" t="s">
        <v>443</v>
      </c>
      <c r="B129" s="3" t="s">
        <v>444</v>
      </c>
      <c r="C129" s="3" t="s">
        <v>468</v>
      </c>
      <c r="D129" s="7" t="s">
        <v>24</v>
      </c>
      <c r="E129" s="3">
        <v>2</v>
      </c>
      <c r="F129" s="22" t="s">
        <v>478</v>
      </c>
      <c r="G129" s="22" t="s">
        <v>479</v>
      </c>
      <c r="H129" s="11" t="s">
        <v>27</v>
      </c>
      <c r="I129" s="15" t="s">
        <v>480</v>
      </c>
      <c r="J129" s="15" t="s">
        <v>481</v>
      </c>
      <c r="K129" s="5" t="s">
        <v>31</v>
      </c>
      <c r="L129" s="5" t="s">
        <v>31</v>
      </c>
      <c r="M129" s="305"/>
      <c r="N129" s="309"/>
      <c r="O129" s="309"/>
      <c r="P129" s="309" t="s">
        <v>2644</v>
      </c>
    </row>
    <row r="130" spans="1:16" ht="151.80000000000001" hidden="1">
      <c r="A130" s="3" t="s">
        <v>443</v>
      </c>
      <c r="B130" s="3" t="s">
        <v>444</v>
      </c>
      <c r="C130" s="3" t="s">
        <v>468</v>
      </c>
      <c r="D130" s="7" t="s">
        <v>24</v>
      </c>
      <c r="E130" s="3">
        <v>2</v>
      </c>
      <c r="F130" s="4" t="s">
        <v>482</v>
      </c>
      <c r="G130" s="4" t="s">
        <v>483</v>
      </c>
      <c r="H130" s="11" t="s">
        <v>55</v>
      </c>
      <c r="I130" s="15" t="s">
        <v>484</v>
      </c>
      <c r="J130" s="15" t="s">
        <v>485</v>
      </c>
      <c r="K130" s="5" t="s">
        <v>31</v>
      </c>
      <c r="L130" s="5" t="s">
        <v>31</v>
      </c>
      <c r="M130" s="305"/>
      <c r="N130" s="309"/>
      <c r="O130" s="309"/>
      <c r="P130" s="309" t="s">
        <v>2645</v>
      </c>
    </row>
    <row r="131" spans="1:16" ht="207" hidden="1">
      <c r="A131" s="3" t="s">
        <v>443</v>
      </c>
      <c r="B131" s="3" t="s">
        <v>444</v>
      </c>
      <c r="C131" s="3" t="s">
        <v>468</v>
      </c>
      <c r="D131" s="7" t="s">
        <v>24</v>
      </c>
      <c r="E131" s="3">
        <v>2</v>
      </c>
      <c r="F131" s="4" t="s">
        <v>486</v>
      </c>
      <c r="G131" s="4" t="s">
        <v>487</v>
      </c>
      <c r="H131" s="11" t="s">
        <v>55</v>
      </c>
      <c r="I131" s="15" t="s">
        <v>488</v>
      </c>
      <c r="J131" s="15" t="s">
        <v>489</v>
      </c>
      <c r="K131" s="5" t="s">
        <v>31</v>
      </c>
      <c r="L131" s="5" t="s">
        <v>31</v>
      </c>
      <c r="M131" s="305">
        <v>1</v>
      </c>
      <c r="N131" s="309"/>
      <c r="O131" s="309"/>
      <c r="P131" s="309" t="s">
        <v>2645</v>
      </c>
    </row>
    <row r="132" spans="1:16" ht="331.2" hidden="1">
      <c r="A132" s="3" t="s">
        <v>443</v>
      </c>
      <c r="B132" s="3" t="s">
        <v>444</v>
      </c>
      <c r="C132" s="3" t="s">
        <v>468</v>
      </c>
      <c r="D132" s="7" t="s">
        <v>24</v>
      </c>
      <c r="E132" s="3">
        <v>2</v>
      </c>
      <c r="F132" s="4" t="s">
        <v>490</v>
      </c>
      <c r="G132" s="4" t="s">
        <v>491</v>
      </c>
      <c r="H132" s="11" t="s">
        <v>55</v>
      </c>
      <c r="I132" s="15" t="s">
        <v>492</v>
      </c>
      <c r="J132" s="15" t="s">
        <v>2482</v>
      </c>
      <c r="K132" s="5" t="s">
        <v>30</v>
      </c>
      <c r="L132" s="5" t="s">
        <v>2572</v>
      </c>
      <c r="M132" s="305">
        <v>1</v>
      </c>
      <c r="N132" s="309" t="s">
        <v>2580</v>
      </c>
      <c r="O132" s="309"/>
      <c r="P132" s="309" t="s">
        <v>2645</v>
      </c>
    </row>
    <row r="133" spans="1:16" ht="151.80000000000001" hidden="1">
      <c r="A133" s="3" t="s">
        <v>443</v>
      </c>
      <c r="B133" s="3" t="s">
        <v>444</v>
      </c>
      <c r="C133" s="3" t="s">
        <v>468</v>
      </c>
      <c r="D133" s="8" t="s">
        <v>40</v>
      </c>
      <c r="E133" s="3">
        <v>3</v>
      </c>
      <c r="F133" s="4" t="s">
        <v>493</v>
      </c>
      <c r="G133" s="4" t="s">
        <v>494</v>
      </c>
      <c r="H133" s="11" t="s">
        <v>27</v>
      </c>
      <c r="I133" s="15" t="s">
        <v>495</v>
      </c>
      <c r="J133" s="15" t="s">
        <v>496</v>
      </c>
      <c r="K133" s="5" t="s">
        <v>31</v>
      </c>
      <c r="L133" s="5" t="s">
        <v>31</v>
      </c>
      <c r="M133" s="305"/>
      <c r="N133" s="309"/>
      <c r="O133" s="309"/>
      <c r="P133" s="309" t="s">
        <v>2644</v>
      </c>
    </row>
    <row r="134" spans="1:16" ht="69" hidden="1">
      <c r="A134" s="3" t="s">
        <v>443</v>
      </c>
      <c r="B134" s="3" t="s">
        <v>444</v>
      </c>
      <c r="C134" s="3" t="s">
        <v>468</v>
      </c>
      <c r="D134" s="8" t="s">
        <v>40</v>
      </c>
      <c r="E134" s="3">
        <v>3</v>
      </c>
      <c r="F134" s="4" t="s">
        <v>497</v>
      </c>
      <c r="G134" s="4" t="s">
        <v>498</v>
      </c>
      <c r="H134" s="11" t="s">
        <v>55</v>
      </c>
      <c r="I134" s="15" t="s">
        <v>492</v>
      </c>
      <c r="J134" s="15" t="s">
        <v>499</v>
      </c>
      <c r="K134" s="5" t="s">
        <v>30</v>
      </c>
      <c r="L134" s="5" t="s">
        <v>31</v>
      </c>
      <c r="M134" s="305">
        <v>1</v>
      </c>
      <c r="N134" s="309"/>
      <c r="O134" s="309"/>
      <c r="P134" s="275" t="s">
        <v>2596</v>
      </c>
    </row>
    <row r="135" spans="1:16" ht="110.4" hidden="1">
      <c r="A135" s="3" t="s">
        <v>443</v>
      </c>
      <c r="B135" s="3" t="s">
        <v>444</v>
      </c>
      <c r="C135" s="3" t="s">
        <v>468</v>
      </c>
      <c r="D135" s="8" t="s">
        <v>40</v>
      </c>
      <c r="E135" s="3">
        <v>3</v>
      </c>
      <c r="F135" s="4" t="s">
        <v>500</v>
      </c>
      <c r="G135" s="4" t="s">
        <v>501</v>
      </c>
      <c r="H135" s="11" t="s">
        <v>55</v>
      </c>
      <c r="I135" s="15" t="s">
        <v>502</v>
      </c>
      <c r="J135" s="15" t="s">
        <v>503</v>
      </c>
      <c r="K135" s="5" t="s">
        <v>31</v>
      </c>
      <c r="L135" s="5" t="s">
        <v>31</v>
      </c>
      <c r="M135" s="305"/>
      <c r="N135" s="309"/>
      <c r="O135" s="309"/>
      <c r="P135" s="275" t="s">
        <v>2596</v>
      </c>
    </row>
    <row r="136" spans="1:16" ht="82.8" hidden="1">
      <c r="A136" s="3" t="s">
        <v>443</v>
      </c>
      <c r="B136" s="3" t="s">
        <v>444</v>
      </c>
      <c r="C136" s="3" t="s">
        <v>468</v>
      </c>
      <c r="D136" s="8" t="s">
        <v>40</v>
      </c>
      <c r="E136" s="3">
        <v>3</v>
      </c>
      <c r="F136" s="4" t="s">
        <v>504</v>
      </c>
      <c r="G136" s="4" t="s">
        <v>505</v>
      </c>
      <c r="H136" s="11" t="s">
        <v>55</v>
      </c>
      <c r="I136" s="15" t="s">
        <v>506</v>
      </c>
      <c r="J136" s="15" t="s">
        <v>507</v>
      </c>
      <c r="K136" s="5" t="s">
        <v>31</v>
      </c>
      <c r="L136" s="5" t="s">
        <v>31</v>
      </c>
      <c r="M136" s="305"/>
      <c r="N136" s="309"/>
      <c r="O136" s="309"/>
      <c r="P136" s="309" t="s">
        <v>2596</v>
      </c>
    </row>
    <row r="137" spans="1:16" ht="41.4" hidden="1">
      <c r="A137" s="3" t="s">
        <v>443</v>
      </c>
      <c r="B137" s="3" t="s">
        <v>444</v>
      </c>
      <c r="C137" s="3" t="s">
        <v>468</v>
      </c>
      <c r="D137" s="8" t="s">
        <v>40</v>
      </c>
      <c r="E137" s="3">
        <v>3</v>
      </c>
      <c r="F137" s="4" t="s">
        <v>508</v>
      </c>
      <c r="G137" s="4" t="s">
        <v>509</v>
      </c>
      <c r="H137" s="11" t="s">
        <v>21</v>
      </c>
      <c r="I137" s="15" t="s">
        <v>21</v>
      </c>
      <c r="J137" s="15" t="s">
        <v>510</v>
      </c>
      <c r="K137" s="11" t="s">
        <v>21</v>
      </c>
      <c r="L137" s="5" t="s">
        <v>31</v>
      </c>
      <c r="M137" s="305"/>
      <c r="N137" s="309"/>
      <c r="O137" s="309"/>
      <c r="P137" s="275" t="s">
        <v>2596</v>
      </c>
    </row>
    <row r="138" spans="1:16" ht="409.6" hidden="1">
      <c r="A138" s="3" t="s">
        <v>443</v>
      </c>
      <c r="B138" s="3" t="s">
        <v>444</v>
      </c>
      <c r="C138" s="3" t="s">
        <v>468</v>
      </c>
      <c r="D138" s="12" t="s">
        <v>48</v>
      </c>
      <c r="E138" s="3">
        <v>4</v>
      </c>
      <c r="F138" s="4" t="s">
        <v>511</v>
      </c>
      <c r="G138" s="4" t="s">
        <v>512</v>
      </c>
      <c r="H138" s="11" t="s">
        <v>21</v>
      </c>
      <c r="I138" s="15" t="s">
        <v>21</v>
      </c>
      <c r="J138" s="15" t="s">
        <v>513</v>
      </c>
      <c r="K138" s="11" t="s">
        <v>21</v>
      </c>
      <c r="L138" s="5" t="s">
        <v>31</v>
      </c>
      <c r="M138" s="305"/>
      <c r="N138" s="309"/>
      <c r="O138" s="309"/>
      <c r="P138" s="275" t="s">
        <v>2596</v>
      </c>
    </row>
    <row r="139" spans="1:16" ht="53.55" hidden="1" customHeight="1">
      <c r="A139" s="3" t="s">
        <v>443</v>
      </c>
      <c r="B139" s="3" t="s">
        <v>444</v>
      </c>
      <c r="C139" s="3" t="s">
        <v>468</v>
      </c>
      <c r="D139" s="12" t="s">
        <v>48</v>
      </c>
      <c r="E139" s="3">
        <v>4</v>
      </c>
      <c r="F139" s="4" t="s">
        <v>514</v>
      </c>
      <c r="G139" s="4" t="s">
        <v>515</v>
      </c>
      <c r="H139" s="11" t="s">
        <v>21</v>
      </c>
      <c r="I139" s="15" t="s">
        <v>21</v>
      </c>
      <c r="J139" s="15" t="s">
        <v>516</v>
      </c>
      <c r="K139" s="11" t="s">
        <v>21</v>
      </c>
      <c r="L139" s="5" t="s">
        <v>31</v>
      </c>
      <c r="M139" s="305"/>
      <c r="N139" s="309"/>
      <c r="O139" s="309"/>
      <c r="P139" s="275" t="s">
        <v>2596</v>
      </c>
    </row>
    <row r="140" spans="1:16" ht="82.8" hidden="1">
      <c r="A140" s="3" t="s">
        <v>443</v>
      </c>
      <c r="B140" s="3" t="s">
        <v>444</v>
      </c>
      <c r="C140" s="3" t="s">
        <v>468</v>
      </c>
      <c r="D140" s="12" t="s">
        <v>48</v>
      </c>
      <c r="E140" s="3">
        <v>4</v>
      </c>
      <c r="F140" s="4" t="s">
        <v>517</v>
      </c>
      <c r="G140" s="4" t="s">
        <v>518</v>
      </c>
      <c r="H140" s="11" t="s">
        <v>55</v>
      </c>
      <c r="I140" s="15" t="s">
        <v>519</v>
      </c>
      <c r="J140" s="15" t="s">
        <v>520</v>
      </c>
      <c r="K140" s="5" t="s">
        <v>31</v>
      </c>
      <c r="L140" s="5" t="s">
        <v>31</v>
      </c>
      <c r="M140" s="305"/>
      <c r="N140" s="309"/>
      <c r="O140" s="309"/>
      <c r="P140" s="275" t="s">
        <v>2596</v>
      </c>
    </row>
    <row r="141" spans="1:16" ht="110.4" hidden="1">
      <c r="A141" s="3" t="s">
        <v>443</v>
      </c>
      <c r="B141" s="3" t="s">
        <v>444</v>
      </c>
      <c r="C141" s="3" t="s">
        <v>468</v>
      </c>
      <c r="D141" s="10" t="s">
        <v>52</v>
      </c>
      <c r="E141" s="3">
        <v>5</v>
      </c>
      <c r="F141" s="22" t="s">
        <v>521</v>
      </c>
      <c r="G141" s="22" t="s">
        <v>522</v>
      </c>
      <c r="H141" s="11" t="s">
        <v>21</v>
      </c>
      <c r="I141" s="15" t="s">
        <v>21</v>
      </c>
      <c r="J141" s="15" t="s">
        <v>523</v>
      </c>
      <c r="K141" s="11" t="s">
        <v>21</v>
      </c>
      <c r="L141" s="5" t="s">
        <v>31</v>
      </c>
      <c r="M141" s="305"/>
      <c r="N141" s="309"/>
      <c r="O141" s="309"/>
      <c r="P141" s="275" t="s">
        <v>2596</v>
      </c>
    </row>
    <row r="142" spans="1:16" ht="165.6" hidden="1">
      <c r="A142" s="3" t="s">
        <v>443</v>
      </c>
      <c r="B142" s="3" t="s">
        <v>444</v>
      </c>
      <c r="C142" s="3" t="s">
        <v>468</v>
      </c>
      <c r="D142" s="10" t="s">
        <v>52</v>
      </c>
      <c r="E142" s="3">
        <v>5</v>
      </c>
      <c r="F142" s="22" t="s">
        <v>524</v>
      </c>
      <c r="G142" s="22" t="s">
        <v>525</v>
      </c>
      <c r="H142" s="11" t="s">
        <v>21</v>
      </c>
      <c r="I142" s="15" t="s">
        <v>21</v>
      </c>
      <c r="J142" s="15" t="s">
        <v>526</v>
      </c>
      <c r="K142" s="11" t="s">
        <v>21</v>
      </c>
      <c r="L142" s="5" t="s">
        <v>31</v>
      </c>
      <c r="M142" s="305"/>
      <c r="N142" s="309"/>
      <c r="O142" s="309"/>
      <c r="P142" s="275" t="s">
        <v>2596</v>
      </c>
    </row>
    <row r="143" spans="1:16" ht="61.05" hidden="1" customHeight="1">
      <c r="A143" s="3" t="s">
        <v>443</v>
      </c>
      <c r="B143" s="3" t="s">
        <v>444</v>
      </c>
      <c r="C143" s="3" t="s">
        <v>468</v>
      </c>
      <c r="D143" s="10" t="s">
        <v>52</v>
      </c>
      <c r="E143" s="3">
        <v>5</v>
      </c>
      <c r="F143" s="22" t="s">
        <v>527</v>
      </c>
      <c r="G143" s="22" t="s">
        <v>528</v>
      </c>
      <c r="H143" s="11" t="s">
        <v>21</v>
      </c>
      <c r="I143" s="15" t="s">
        <v>21</v>
      </c>
      <c r="J143" s="15" t="s">
        <v>529</v>
      </c>
      <c r="K143" s="11" t="s">
        <v>21</v>
      </c>
      <c r="L143" s="5" t="s">
        <v>31</v>
      </c>
      <c r="M143" s="305"/>
      <c r="N143" s="309"/>
      <c r="O143" s="309"/>
      <c r="P143" s="275" t="s">
        <v>2596</v>
      </c>
    </row>
    <row r="144" spans="1:16" ht="69.45" hidden="1" customHeight="1">
      <c r="A144" s="3" t="s">
        <v>443</v>
      </c>
      <c r="B144" s="3" t="s">
        <v>444</v>
      </c>
      <c r="C144" s="3" t="s">
        <v>530</v>
      </c>
      <c r="D144" s="6" t="s">
        <v>18</v>
      </c>
      <c r="E144" s="3">
        <v>1</v>
      </c>
      <c r="F144" s="22" t="s">
        <v>531</v>
      </c>
      <c r="G144" s="22" t="s">
        <v>532</v>
      </c>
      <c r="H144" s="11" t="s">
        <v>21</v>
      </c>
      <c r="I144" s="15" t="s">
        <v>21</v>
      </c>
      <c r="J144" s="15" t="s">
        <v>533</v>
      </c>
      <c r="K144" s="11" t="s">
        <v>21</v>
      </c>
      <c r="L144" s="5" t="s">
        <v>31</v>
      </c>
      <c r="M144" s="305"/>
      <c r="N144" s="309" t="s">
        <v>2503</v>
      </c>
      <c r="O144" s="309" t="s">
        <v>2543</v>
      </c>
      <c r="P144" s="309" t="s">
        <v>2645</v>
      </c>
    </row>
    <row r="145" spans="1:16" ht="77.55" hidden="1" customHeight="1">
      <c r="A145" s="3" t="s">
        <v>443</v>
      </c>
      <c r="B145" s="3" t="s">
        <v>444</v>
      </c>
      <c r="C145" s="3" t="s">
        <v>530</v>
      </c>
      <c r="D145" s="6" t="s">
        <v>18</v>
      </c>
      <c r="E145" s="3">
        <v>1</v>
      </c>
      <c r="F145" s="22" t="s">
        <v>534</v>
      </c>
      <c r="G145" s="22" t="s">
        <v>535</v>
      </c>
      <c r="H145" s="11" t="s">
        <v>21</v>
      </c>
      <c r="I145" s="15" t="s">
        <v>21</v>
      </c>
      <c r="J145" s="15" t="s">
        <v>536</v>
      </c>
      <c r="K145" s="11" t="s">
        <v>21</v>
      </c>
      <c r="L145" s="5" t="s">
        <v>31</v>
      </c>
      <c r="M145" s="305"/>
      <c r="N145" s="309" t="s">
        <v>2503</v>
      </c>
      <c r="O145" s="309" t="s">
        <v>2543</v>
      </c>
      <c r="P145" s="309" t="s">
        <v>2645</v>
      </c>
    </row>
    <row r="146" spans="1:16" ht="55.2" hidden="1">
      <c r="A146" s="3" t="s">
        <v>443</v>
      </c>
      <c r="B146" s="3" t="s">
        <v>444</v>
      </c>
      <c r="C146" s="3" t="s">
        <v>530</v>
      </c>
      <c r="D146" s="7" t="s">
        <v>24</v>
      </c>
      <c r="E146" s="3">
        <v>2</v>
      </c>
      <c r="F146" s="22" t="s">
        <v>537</v>
      </c>
      <c r="G146" s="22" t="s">
        <v>538</v>
      </c>
      <c r="H146" s="11" t="s">
        <v>55</v>
      </c>
      <c r="I146" s="15" t="s">
        <v>488</v>
      </c>
      <c r="J146" s="15" t="s">
        <v>539</v>
      </c>
      <c r="K146" s="5" t="s">
        <v>31</v>
      </c>
      <c r="L146" s="5" t="s">
        <v>31</v>
      </c>
      <c r="M146" s="305">
        <v>1</v>
      </c>
      <c r="N146" s="309"/>
      <c r="O146" s="309"/>
      <c r="P146" s="309" t="s">
        <v>2645</v>
      </c>
    </row>
    <row r="147" spans="1:16" ht="63.45" hidden="1" customHeight="1">
      <c r="A147" s="3" t="s">
        <v>443</v>
      </c>
      <c r="B147" s="3" t="s">
        <v>444</v>
      </c>
      <c r="C147" s="3" t="s">
        <v>530</v>
      </c>
      <c r="D147" s="7" t="s">
        <v>24</v>
      </c>
      <c r="E147" s="3">
        <v>2</v>
      </c>
      <c r="F147" s="22" t="s">
        <v>540</v>
      </c>
      <c r="G147" s="22" t="s">
        <v>541</v>
      </c>
      <c r="H147" s="11" t="s">
        <v>21</v>
      </c>
      <c r="I147" s="15" t="s">
        <v>21</v>
      </c>
      <c r="J147" s="15" t="s">
        <v>542</v>
      </c>
      <c r="K147" s="11" t="s">
        <v>21</v>
      </c>
      <c r="L147" s="5" t="s">
        <v>31</v>
      </c>
      <c r="M147" s="305"/>
      <c r="N147" s="309"/>
      <c r="O147" s="309"/>
      <c r="P147" s="309" t="s">
        <v>2645</v>
      </c>
    </row>
    <row r="148" spans="1:16" ht="82.8" hidden="1">
      <c r="A148" s="3" t="s">
        <v>443</v>
      </c>
      <c r="B148" s="3" t="s">
        <v>444</v>
      </c>
      <c r="C148" s="3" t="s">
        <v>530</v>
      </c>
      <c r="D148" s="8" t="s">
        <v>40</v>
      </c>
      <c r="E148" s="3">
        <v>3</v>
      </c>
      <c r="F148" s="4" t="s">
        <v>543</v>
      </c>
      <c r="G148" s="4" t="s">
        <v>544</v>
      </c>
      <c r="H148" s="11" t="s">
        <v>55</v>
      </c>
      <c r="I148" s="15" t="s">
        <v>488</v>
      </c>
      <c r="J148" s="15" t="s">
        <v>545</v>
      </c>
      <c r="K148" s="5" t="s">
        <v>31</v>
      </c>
      <c r="L148" s="5" t="s">
        <v>31</v>
      </c>
      <c r="M148" s="305">
        <v>1</v>
      </c>
      <c r="N148" s="309"/>
      <c r="O148" s="309"/>
      <c r="P148" s="275" t="s">
        <v>2596</v>
      </c>
    </row>
    <row r="149" spans="1:16" ht="82.8" hidden="1">
      <c r="A149" s="3" t="s">
        <v>443</v>
      </c>
      <c r="B149" s="3" t="s">
        <v>444</v>
      </c>
      <c r="C149" s="3" t="s">
        <v>530</v>
      </c>
      <c r="D149" s="8" t="s">
        <v>40</v>
      </c>
      <c r="E149" s="3">
        <v>3</v>
      </c>
      <c r="F149" s="4" t="s">
        <v>546</v>
      </c>
      <c r="G149" s="4" t="s">
        <v>547</v>
      </c>
      <c r="H149" s="11" t="s">
        <v>181</v>
      </c>
      <c r="I149" s="15" t="s">
        <v>548</v>
      </c>
      <c r="J149" s="15" t="s">
        <v>549</v>
      </c>
      <c r="K149" s="5" t="s">
        <v>31</v>
      </c>
      <c r="L149" s="5" t="s">
        <v>31</v>
      </c>
      <c r="M149" s="305"/>
      <c r="N149" s="309"/>
      <c r="O149" s="309"/>
      <c r="P149" s="275" t="s">
        <v>2596</v>
      </c>
    </row>
    <row r="150" spans="1:16" ht="82.8" hidden="1">
      <c r="A150" s="3" t="s">
        <v>443</v>
      </c>
      <c r="B150" s="3" t="s">
        <v>444</v>
      </c>
      <c r="C150" s="3" t="s">
        <v>530</v>
      </c>
      <c r="D150" s="8" t="s">
        <v>40</v>
      </c>
      <c r="E150" s="3">
        <v>3</v>
      </c>
      <c r="F150" s="4" t="s">
        <v>550</v>
      </c>
      <c r="G150" s="4" t="s">
        <v>551</v>
      </c>
      <c r="H150" s="11" t="s">
        <v>181</v>
      </c>
      <c r="I150" s="15" t="s">
        <v>552</v>
      </c>
      <c r="J150" s="15" t="s">
        <v>553</v>
      </c>
      <c r="K150" s="5" t="s">
        <v>31</v>
      </c>
      <c r="L150" s="5" t="s">
        <v>31</v>
      </c>
      <c r="M150" s="305"/>
      <c r="N150" s="309"/>
      <c r="O150" s="309"/>
      <c r="P150" s="275" t="s">
        <v>2596</v>
      </c>
    </row>
    <row r="151" spans="1:16" ht="55.2" hidden="1">
      <c r="A151" s="3" t="s">
        <v>443</v>
      </c>
      <c r="B151" s="3" t="s">
        <v>444</v>
      </c>
      <c r="C151" s="3" t="s">
        <v>530</v>
      </c>
      <c r="D151" s="8" t="s">
        <v>40</v>
      </c>
      <c r="E151" s="3">
        <v>3</v>
      </c>
      <c r="F151" s="4" t="s">
        <v>554</v>
      </c>
      <c r="G151" s="4" t="s">
        <v>555</v>
      </c>
      <c r="H151" s="11" t="s">
        <v>55</v>
      </c>
      <c r="I151" s="15" t="s">
        <v>556</v>
      </c>
      <c r="J151" s="15" t="s">
        <v>557</v>
      </c>
      <c r="K151" s="5" t="s">
        <v>31</v>
      </c>
      <c r="L151" s="5" t="s">
        <v>31</v>
      </c>
      <c r="M151" s="305"/>
      <c r="N151" s="309"/>
      <c r="O151" s="309"/>
      <c r="P151" s="275" t="s">
        <v>2596</v>
      </c>
    </row>
    <row r="152" spans="1:16" ht="409.6" hidden="1">
      <c r="A152" s="3" t="s">
        <v>443</v>
      </c>
      <c r="B152" s="3" t="s">
        <v>444</v>
      </c>
      <c r="C152" s="3" t="s">
        <v>530</v>
      </c>
      <c r="D152" s="12" t="s">
        <v>48</v>
      </c>
      <c r="E152" s="3">
        <v>4</v>
      </c>
      <c r="F152" s="4" t="s">
        <v>558</v>
      </c>
      <c r="G152" s="4" t="s">
        <v>559</v>
      </c>
      <c r="H152" s="11" t="s">
        <v>55</v>
      </c>
      <c r="I152" s="15" t="s">
        <v>560</v>
      </c>
      <c r="J152" s="15" t="s">
        <v>561</v>
      </c>
      <c r="K152" s="5" t="s">
        <v>31</v>
      </c>
      <c r="L152" s="5" t="s">
        <v>31</v>
      </c>
      <c r="M152" s="305"/>
      <c r="N152" s="309"/>
      <c r="O152" s="309"/>
      <c r="P152" s="275" t="s">
        <v>2596</v>
      </c>
    </row>
    <row r="153" spans="1:16" ht="118.95" hidden="1" customHeight="1">
      <c r="A153" s="3" t="s">
        <v>443</v>
      </c>
      <c r="B153" s="3" t="s">
        <v>444</v>
      </c>
      <c r="C153" s="3" t="s">
        <v>530</v>
      </c>
      <c r="D153" s="10" t="s">
        <v>52</v>
      </c>
      <c r="E153" s="3">
        <v>5</v>
      </c>
      <c r="F153" s="4" t="s">
        <v>562</v>
      </c>
      <c r="G153" s="4" t="s">
        <v>563</v>
      </c>
      <c r="H153" s="11" t="s">
        <v>21</v>
      </c>
      <c r="I153" s="15" t="s">
        <v>21</v>
      </c>
      <c r="J153" s="15" t="s">
        <v>564</v>
      </c>
      <c r="K153" s="11" t="s">
        <v>21</v>
      </c>
      <c r="L153" s="5" t="s">
        <v>31</v>
      </c>
      <c r="M153" s="305"/>
      <c r="N153" s="309"/>
      <c r="O153" s="309"/>
      <c r="P153" s="275" t="s">
        <v>2596</v>
      </c>
    </row>
    <row r="154" spans="1:16" ht="52.05" hidden="1" customHeight="1">
      <c r="A154" s="3" t="s">
        <v>443</v>
      </c>
      <c r="B154" s="3" t="s">
        <v>444</v>
      </c>
      <c r="C154" s="3" t="s">
        <v>565</v>
      </c>
      <c r="D154" s="6" t="s">
        <v>18</v>
      </c>
      <c r="E154" s="3">
        <v>1</v>
      </c>
      <c r="F154" s="22" t="s">
        <v>566</v>
      </c>
      <c r="G154" s="22" t="s">
        <v>567</v>
      </c>
      <c r="H154" s="11" t="s">
        <v>21</v>
      </c>
      <c r="I154" s="15" t="s">
        <v>21</v>
      </c>
      <c r="J154" s="15" t="s">
        <v>568</v>
      </c>
      <c r="K154" s="11" t="s">
        <v>21</v>
      </c>
      <c r="L154" s="5" t="s">
        <v>31</v>
      </c>
      <c r="M154" s="305"/>
      <c r="N154" s="309"/>
      <c r="O154" s="309"/>
      <c r="P154" s="309" t="s">
        <v>2645</v>
      </c>
    </row>
    <row r="155" spans="1:16" ht="64.95" hidden="1" customHeight="1">
      <c r="A155" s="3" t="s">
        <v>443</v>
      </c>
      <c r="B155" s="3" t="s">
        <v>444</v>
      </c>
      <c r="C155" s="3" t="s">
        <v>565</v>
      </c>
      <c r="D155" s="7" t="s">
        <v>24</v>
      </c>
      <c r="E155" s="3">
        <v>2</v>
      </c>
      <c r="F155" s="22" t="s">
        <v>569</v>
      </c>
      <c r="G155" s="22" t="s">
        <v>570</v>
      </c>
      <c r="H155" s="11" t="s">
        <v>21</v>
      </c>
      <c r="I155" s="15" t="s">
        <v>21</v>
      </c>
      <c r="J155" s="15" t="s">
        <v>571</v>
      </c>
      <c r="K155" s="11" t="s">
        <v>21</v>
      </c>
      <c r="L155" s="5" t="s">
        <v>31</v>
      </c>
      <c r="M155" s="305"/>
      <c r="N155" s="309"/>
      <c r="O155" s="309"/>
      <c r="P155" s="309" t="s">
        <v>2645</v>
      </c>
    </row>
    <row r="156" spans="1:16" ht="58.05" hidden="1" customHeight="1">
      <c r="A156" s="3" t="s">
        <v>443</v>
      </c>
      <c r="B156" s="3" t="s">
        <v>444</v>
      </c>
      <c r="C156" s="3" t="s">
        <v>565</v>
      </c>
      <c r="D156" s="7" t="s">
        <v>24</v>
      </c>
      <c r="E156" s="3">
        <v>2</v>
      </c>
      <c r="F156" s="22" t="s">
        <v>572</v>
      </c>
      <c r="G156" s="22" t="s">
        <v>573</v>
      </c>
      <c r="H156" s="11" t="s">
        <v>21</v>
      </c>
      <c r="I156" s="15" t="s">
        <v>21</v>
      </c>
      <c r="J156" s="15" t="s">
        <v>574</v>
      </c>
      <c r="K156" s="11" t="s">
        <v>21</v>
      </c>
      <c r="L156" s="5" t="s">
        <v>31</v>
      </c>
      <c r="M156" s="305"/>
      <c r="N156" s="309"/>
      <c r="O156" s="309"/>
      <c r="P156" s="309" t="s">
        <v>2645</v>
      </c>
    </row>
    <row r="157" spans="1:16" ht="53.55" hidden="1" customHeight="1">
      <c r="A157" s="3" t="s">
        <v>443</v>
      </c>
      <c r="B157" s="3" t="s">
        <v>444</v>
      </c>
      <c r="C157" s="3" t="s">
        <v>565</v>
      </c>
      <c r="D157" s="7" t="s">
        <v>24</v>
      </c>
      <c r="E157" s="3">
        <v>2</v>
      </c>
      <c r="F157" s="22" t="s">
        <v>575</v>
      </c>
      <c r="G157" s="22" t="s">
        <v>576</v>
      </c>
      <c r="H157" s="11" t="s">
        <v>21</v>
      </c>
      <c r="I157" s="15" t="s">
        <v>21</v>
      </c>
      <c r="J157" s="15" t="s">
        <v>577</v>
      </c>
      <c r="K157" s="11" t="s">
        <v>21</v>
      </c>
      <c r="L157" s="5" t="s">
        <v>31</v>
      </c>
      <c r="M157" s="305"/>
      <c r="N157" s="309" t="s">
        <v>2600</v>
      </c>
      <c r="O157" s="309"/>
      <c r="P157" s="309" t="s">
        <v>2645</v>
      </c>
    </row>
    <row r="158" spans="1:16" ht="83.55" hidden="1" customHeight="1">
      <c r="A158" s="3" t="s">
        <v>443</v>
      </c>
      <c r="B158" s="3" t="s">
        <v>444</v>
      </c>
      <c r="C158" s="3" t="s">
        <v>565</v>
      </c>
      <c r="D158" s="8" t="s">
        <v>40</v>
      </c>
      <c r="E158" s="3">
        <v>3</v>
      </c>
      <c r="F158" s="22" t="s">
        <v>578</v>
      </c>
      <c r="G158" s="22" t="s">
        <v>579</v>
      </c>
      <c r="H158" s="11" t="s">
        <v>21</v>
      </c>
      <c r="I158" s="15" t="s">
        <v>21</v>
      </c>
      <c r="J158" s="15" t="s">
        <v>580</v>
      </c>
      <c r="K158" s="11" t="s">
        <v>21</v>
      </c>
      <c r="L158" s="5" t="s">
        <v>31</v>
      </c>
      <c r="M158" s="305"/>
      <c r="N158" s="309" t="s">
        <v>2600</v>
      </c>
      <c r="O158" s="309"/>
      <c r="P158" s="275" t="s">
        <v>2596</v>
      </c>
    </row>
    <row r="159" spans="1:16" ht="94.95" hidden="1" customHeight="1">
      <c r="A159" s="3" t="s">
        <v>443</v>
      </c>
      <c r="B159" s="3" t="s">
        <v>444</v>
      </c>
      <c r="C159" s="3" t="s">
        <v>565</v>
      </c>
      <c r="D159" s="8" t="s">
        <v>40</v>
      </c>
      <c r="E159" s="3">
        <v>3</v>
      </c>
      <c r="F159" s="22" t="s">
        <v>581</v>
      </c>
      <c r="G159" s="22" t="s">
        <v>582</v>
      </c>
      <c r="H159" s="11" t="s">
        <v>21</v>
      </c>
      <c r="I159" s="15" t="s">
        <v>21</v>
      </c>
      <c r="J159" s="15" t="s">
        <v>583</v>
      </c>
      <c r="K159" s="11" t="s">
        <v>21</v>
      </c>
      <c r="L159" s="5" t="s">
        <v>31</v>
      </c>
      <c r="M159" s="305"/>
      <c r="N159" s="309"/>
      <c r="O159" s="309"/>
      <c r="P159" s="275" t="s">
        <v>2596</v>
      </c>
    </row>
    <row r="160" spans="1:16" ht="409.6" hidden="1">
      <c r="A160" s="3" t="s">
        <v>443</v>
      </c>
      <c r="B160" s="3" t="s">
        <v>444</v>
      </c>
      <c r="C160" s="3" t="s">
        <v>565</v>
      </c>
      <c r="D160" s="12" t="s">
        <v>48</v>
      </c>
      <c r="E160" s="3">
        <v>4</v>
      </c>
      <c r="F160" s="4" t="s">
        <v>584</v>
      </c>
      <c r="G160" s="4" t="s">
        <v>585</v>
      </c>
      <c r="H160" s="11" t="s">
        <v>21</v>
      </c>
      <c r="I160" s="15" t="s">
        <v>21</v>
      </c>
      <c r="J160" s="15" t="s">
        <v>586</v>
      </c>
      <c r="K160" s="11" t="s">
        <v>21</v>
      </c>
      <c r="L160" s="5" t="s">
        <v>31</v>
      </c>
      <c r="M160" s="305"/>
      <c r="N160" s="309" t="s">
        <v>2600</v>
      </c>
      <c r="O160" s="309"/>
      <c r="P160" s="275" t="s">
        <v>2596</v>
      </c>
    </row>
    <row r="161" spans="1:16" ht="179.4" hidden="1">
      <c r="A161" s="3" t="s">
        <v>443</v>
      </c>
      <c r="B161" s="3" t="s">
        <v>444</v>
      </c>
      <c r="C161" s="3" t="s">
        <v>565</v>
      </c>
      <c r="D161" s="10" t="s">
        <v>52</v>
      </c>
      <c r="E161" s="3">
        <v>5</v>
      </c>
      <c r="F161" s="4" t="s">
        <v>587</v>
      </c>
      <c r="G161" s="4" t="s">
        <v>588</v>
      </c>
      <c r="H161" s="11" t="s">
        <v>21</v>
      </c>
      <c r="I161" s="15" t="s">
        <v>21</v>
      </c>
      <c r="J161" s="15" t="s">
        <v>589</v>
      </c>
      <c r="K161" s="11" t="s">
        <v>21</v>
      </c>
      <c r="L161" s="5" t="s">
        <v>31</v>
      </c>
      <c r="M161" s="306"/>
      <c r="N161" s="309" t="s">
        <v>2600</v>
      </c>
      <c r="O161" s="309"/>
      <c r="P161" s="275" t="s">
        <v>2596</v>
      </c>
    </row>
    <row r="162" spans="1:16" ht="55.2" hidden="1">
      <c r="A162" s="3" t="s">
        <v>590</v>
      </c>
      <c r="B162" s="3" t="s">
        <v>591</v>
      </c>
      <c r="C162" s="3" t="s">
        <v>592</v>
      </c>
      <c r="D162" s="6" t="s">
        <v>18</v>
      </c>
      <c r="E162" s="3">
        <v>1</v>
      </c>
      <c r="F162" s="4" t="s">
        <v>593</v>
      </c>
      <c r="G162" s="22" t="s">
        <v>594</v>
      </c>
      <c r="H162" s="11" t="s">
        <v>21</v>
      </c>
      <c r="I162" s="15" t="s">
        <v>21</v>
      </c>
      <c r="J162" s="15" t="s">
        <v>595</v>
      </c>
      <c r="K162" s="11" t="s">
        <v>21</v>
      </c>
      <c r="L162" s="5" t="s">
        <v>23</v>
      </c>
      <c r="M162" s="305"/>
      <c r="N162" s="309"/>
      <c r="O162" s="313" t="s">
        <v>2519</v>
      </c>
      <c r="P162" s="275" t="s">
        <v>2584</v>
      </c>
    </row>
    <row r="163" spans="1:16" ht="96.6" hidden="1">
      <c r="A163" s="3" t="s">
        <v>590</v>
      </c>
      <c r="B163" s="3" t="s">
        <v>591</v>
      </c>
      <c r="C163" s="3" t="s">
        <v>592</v>
      </c>
      <c r="D163" s="6" t="s">
        <v>18</v>
      </c>
      <c r="E163" s="3">
        <v>1</v>
      </c>
      <c r="F163" s="4" t="s">
        <v>596</v>
      </c>
      <c r="G163" s="22" t="s">
        <v>597</v>
      </c>
      <c r="H163" s="11" t="s">
        <v>27</v>
      </c>
      <c r="I163" s="15" t="s">
        <v>598</v>
      </c>
      <c r="J163" s="15" t="s">
        <v>599</v>
      </c>
      <c r="K163" s="5" t="s">
        <v>23</v>
      </c>
      <c r="L163" s="5" t="s">
        <v>23</v>
      </c>
      <c r="M163" s="305"/>
      <c r="N163" s="309"/>
      <c r="O163" s="313" t="s">
        <v>2525</v>
      </c>
      <c r="P163" s="275" t="s">
        <v>2584</v>
      </c>
    </row>
    <row r="164" spans="1:16" ht="96.6" hidden="1">
      <c r="A164" s="3" t="s">
        <v>590</v>
      </c>
      <c r="B164" s="3" t="s">
        <v>591</v>
      </c>
      <c r="C164" s="3" t="s">
        <v>592</v>
      </c>
      <c r="D164" s="7" t="s">
        <v>24</v>
      </c>
      <c r="E164" s="3">
        <v>2</v>
      </c>
      <c r="F164" s="4" t="s">
        <v>600</v>
      </c>
      <c r="G164" s="22" t="s">
        <v>601</v>
      </c>
      <c r="H164" s="11" t="s">
        <v>27</v>
      </c>
      <c r="I164" s="15" t="s">
        <v>602</v>
      </c>
      <c r="J164" s="15" t="s">
        <v>2481</v>
      </c>
      <c r="K164" s="5" t="s">
        <v>23</v>
      </c>
      <c r="L164" s="5" t="s">
        <v>23</v>
      </c>
      <c r="M164" s="305"/>
      <c r="N164" s="310"/>
      <c r="O164" s="313" t="s">
        <v>2527</v>
      </c>
      <c r="P164" s="275" t="s">
        <v>2584</v>
      </c>
    </row>
    <row r="165" spans="1:16" ht="96.6" hidden="1">
      <c r="A165" s="3" t="s">
        <v>590</v>
      </c>
      <c r="B165" s="3" t="s">
        <v>591</v>
      </c>
      <c r="C165" s="3" t="s">
        <v>592</v>
      </c>
      <c r="D165" s="7" t="s">
        <v>24</v>
      </c>
      <c r="E165" s="3">
        <v>2</v>
      </c>
      <c r="F165" s="4" t="s">
        <v>603</v>
      </c>
      <c r="G165" s="22" t="s">
        <v>604</v>
      </c>
      <c r="H165" s="11" t="s">
        <v>21</v>
      </c>
      <c r="I165" s="15" t="s">
        <v>21</v>
      </c>
      <c r="J165" s="15" t="s">
        <v>605</v>
      </c>
      <c r="K165" s="11" t="s">
        <v>21</v>
      </c>
      <c r="L165" s="5" t="s">
        <v>2572</v>
      </c>
      <c r="M165" s="305"/>
      <c r="N165" s="309" t="s">
        <v>2619</v>
      </c>
      <c r="O165" s="313" t="s">
        <v>2526</v>
      </c>
      <c r="P165" s="275" t="s">
        <v>2584</v>
      </c>
    </row>
    <row r="166" spans="1:16" ht="165.6" hidden="1">
      <c r="A166" s="3" t="s">
        <v>590</v>
      </c>
      <c r="B166" s="3" t="s">
        <v>591</v>
      </c>
      <c r="C166" s="3" t="s">
        <v>592</v>
      </c>
      <c r="D166" s="8" t="s">
        <v>40</v>
      </c>
      <c r="E166" s="3">
        <v>3</v>
      </c>
      <c r="F166" s="4" t="s">
        <v>606</v>
      </c>
      <c r="G166" s="22" t="s">
        <v>607</v>
      </c>
      <c r="H166" s="11" t="s">
        <v>21</v>
      </c>
      <c r="I166" s="15" t="s">
        <v>21</v>
      </c>
      <c r="J166" s="15" t="s">
        <v>608</v>
      </c>
      <c r="K166" s="11" t="s">
        <v>21</v>
      </c>
      <c r="L166" s="5" t="s">
        <v>31</v>
      </c>
      <c r="M166" s="305"/>
      <c r="N166" s="309" t="s">
        <v>2530</v>
      </c>
      <c r="O166" s="309"/>
      <c r="P166" s="275" t="s">
        <v>2584</v>
      </c>
    </row>
    <row r="167" spans="1:16" ht="193.2" hidden="1">
      <c r="A167" s="3" t="s">
        <v>590</v>
      </c>
      <c r="B167" s="3" t="s">
        <v>591</v>
      </c>
      <c r="C167" s="3" t="s">
        <v>592</v>
      </c>
      <c r="D167" s="8" t="s">
        <v>40</v>
      </c>
      <c r="E167" s="3">
        <v>3</v>
      </c>
      <c r="F167" s="4" t="s">
        <v>609</v>
      </c>
      <c r="G167" s="22" t="s">
        <v>610</v>
      </c>
      <c r="H167" s="11" t="s">
        <v>27</v>
      </c>
      <c r="I167" s="15" t="s">
        <v>611</v>
      </c>
      <c r="J167" s="15" t="s">
        <v>612</v>
      </c>
      <c r="K167" s="5" t="s">
        <v>23</v>
      </c>
      <c r="L167" s="5" t="s">
        <v>23</v>
      </c>
      <c r="M167" s="305"/>
      <c r="N167" s="310" t="s">
        <v>2620</v>
      </c>
      <c r="O167" s="309" t="s">
        <v>2526</v>
      </c>
      <c r="P167" s="275" t="s">
        <v>2584</v>
      </c>
    </row>
    <row r="168" spans="1:16" ht="345" hidden="1">
      <c r="A168" s="3" t="s">
        <v>590</v>
      </c>
      <c r="B168" s="3" t="s">
        <v>591</v>
      </c>
      <c r="C168" s="3" t="s">
        <v>592</v>
      </c>
      <c r="D168" s="12" t="s">
        <v>48</v>
      </c>
      <c r="E168" s="3">
        <v>4</v>
      </c>
      <c r="F168" s="4" t="s">
        <v>613</v>
      </c>
      <c r="G168" s="22" t="s">
        <v>614</v>
      </c>
      <c r="H168" s="11" t="s">
        <v>21</v>
      </c>
      <c r="I168" s="15" t="s">
        <v>21</v>
      </c>
      <c r="J168" s="15" t="s">
        <v>615</v>
      </c>
      <c r="K168" s="11" t="s">
        <v>21</v>
      </c>
      <c r="L168" s="5" t="s">
        <v>31</v>
      </c>
      <c r="M168" s="305"/>
      <c r="N168" s="309"/>
      <c r="O168" s="309"/>
      <c r="P168" s="275" t="s">
        <v>2584</v>
      </c>
    </row>
    <row r="169" spans="1:16" ht="96.6" hidden="1">
      <c r="A169" s="3" t="s">
        <v>590</v>
      </c>
      <c r="B169" s="3" t="s">
        <v>591</v>
      </c>
      <c r="C169" s="3" t="s">
        <v>592</v>
      </c>
      <c r="D169" s="10" t="s">
        <v>52</v>
      </c>
      <c r="E169" s="3">
        <v>5</v>
      </c>
      <c r="F169" s="4" t="s">
        <v>616</v>
      </c>
      <c r="G169" s="22" t="s">
        <v>617</v>
      </c>
      <c r="H169" s="11" t="s">
        <v>21</v>
      </c>
      <c r="I169" s="15" t="s">
        <v>21</v>
      </c>
      <c r="J169" s="15" t="s">
        <v>618</v>
      </c>
      <c r="K169" s="11" t="s">
        <v>21</v>
      </c>
      <c r="L169" s="5" t="s">
        <v>31</v>
      </c>
      <c r="M169" s="305"/>
      <c r="N169" s="309"/>
      <c r="O169" s="309"/>
      <c r="P169" s="275" t="s">
        <v>2584</v>
      </c>
    </row>
    <row r="170" spans="1:16" ht="96.6" hidden="1">
      <c r="A170" s="3" t="s">
        <v>590</v>
      </c>
      <c r="B170" s="3" t="s">
        <v>591</v>
      </c>
      <c r="C170" s="3" t="s">
        <v>619</v>
      </c>
      <c r="D170" s="6" t="s">
        <v>18</v>
      </c>
      <c r="E170" s="3">
        <v>1</v>
      </c>
      <c r="F170" s="4" t="s">
        <v>620</v>
      </c>
      <c r="G170" s="22" t="s">
        <v>621</v>
      </c>
      <c r="H170" s="11" t="s">
        <v>21</v>
      </c>
      <c r="I170" s="15" t="s">
        <v>21</v>
      </c>
      <c r="J170" s="15" t="s">
        <v>622</v>
      </c>
      <c r="K170" s="11" t="s">
        <v>21</v>
      </c>
      <c r="L170" s="5" t="s">
        <v>23</v>
      </c>
      <c r="M170" s="305"/>
      <c r="N170" s="309"/>
      <c r="O170" s="309" t="s">
        <v>2535</v>
      </c>
      <c r="P170" s="275" t="s">
        <v>2584</v>
      </c>
    </row>
    <row r="171" spans="1:16" ht="124.2" hidden="1">
      <c r="A171" s="3" t="s">
        <v>590</v>
      </c>
      <c r="B171" s="3" t="s">
        <v>591</v>
      </c>
      <c r="C171" s="3" t="s">
        <v>619</v>
      </c>
      <c r="D171" s="7" t="s">
        <v>24</v>
      </c>
      <c r="E171" s="3">
        <v>2</v>
      </c>
      <c r="F171" s="4" t="s">
        <v>623</v>
      </c>
      <c r="G171" s="22" t="s">
        <v>624</v>
      </c>
      <c r="H171" s="11" t="s">
        <v>21</v>
      </c>
      <c r="I171" s="15" t="s">
        <v>21</v>
      </c>
      <c r="J171" s="15" t="s">
        <v>625</v>
      </c>
      <c r="K171" s="11" t="s">
        <v>21</v>
      </c>
      <c r="L171" s="5" t="s">
        <v>23</v>
      </c>
      <c r="M171" s="305"/>
      <c r="N171" s="314"/>
      <c r="O171" s="314" t="s">
        <v>2534</v>
      </c>
      <c r="P171" s="275" t="s">
        <v>2584</v>
      </c>
    </row>
    <row r="172" spans="1:16" ht="151.80000000000001" hidden="1">
      <c r="A172" s="3" t="s">
        <v>590</v>
      </c>
      <c r="B172" s="3" t="s">
        <v>591</v>
      </c>
      <c r="C172" s="3" t="s">
        <v>619</v>
      </c>
      <c r="D172" s="7" t="s">
        <v>24</v>
      </c>
      <c r="E172" s="3">
        <v>2</v>
      </c>
      <c r="F172" s="4" t="s">
        <v>626</v>
      </c>
      <c r="G172" s="22" t="s">
        <v>627</v>
      </c>
      <c r="H172" s="11" t="s">
        <v>27</v>
      </c>
      <c r="I172" s="15" t="s">
        <v>628</v>
      </c>
      <c r="J172" s="15" t="s">
        <v>629</v>
      </c>
      <c r="K172" s="5" t="s">
        <v>23</v>
      </c>
      <c r="L172" s="5" t="s">
        <v>23</v>
      </c>
      <c r="M172" s="305"/>
      <c r="N172" s="314"/>
      <c r="O172" s="314" t="s">
        <v>2534</v>
      </c>
      <c r="P172" s="275" t="s">
        <v>2584</v>
      </c>
    </row>
    <row r="173" spans="1:16" ht="248.4" hidden="1">
      <c r="A173" s="3" t="s">
        <v>590</v>
      </c>
      <c r="B173" s="3" t="s">
        <v>591</v>
      </c>
      <c r="C173" s="3" t="s">
        <v>619</v>
      </c>
      <c r="D173" s="7" t="s">
        <v>24</v>
      </c>
      <c r="E173" s="3">
        <v>2</v>
      </c>
      <c r="F173" s="4" t="s">
        <v>630</v>
      </c>
      <c r="G173" s="22" t="s">
        <v>631</v>
      </c>
      <c r="H173" s="11" t="s">
        <v>21</v>
      </c>
      <c r="I173" s="15" t="s">
        <v>21</v>
      </c>
      <c r="J173" s="15" t="s">
        <v>632</v>
      </c>
      <c r="K173" s="11" t="s">
        <v>21</v>
      </c>
      <c r="L173" s="5" t="s">
        <v>23</v>
      </c>
      <c r="M173" s="305"/>
      <c r="N173" s="309"/>
      <c r="O173" s="309" t="s">
        <v>2533</v>
      </c>
      <c r="P173" s="275" t="s">
        <v>2584</v>
      </c>
    </row>
    <row r="174" spans="1:16" ht="165.6" hidden="1">
      <c r="A174" s="3" t="s">
        <v>590</v>
      </c>
      <c r="B174" s="3" t="s">
        <v>591</v>
      </c>
      <c r="C174" s="3" t="s">
        <v>619</v>
      </c>
      <c r="D174" s="7" t="s">
        <v>24</v>
      </c>
      <c r="E174" s="3">
        <v>2</v>
      </c>
      <c r="F174" s="4" t="s">
        <v>633</v>
      </c>
      <c r="G174" s="22" t="s">
        <v>634</v>
      </c>
      <c r="H174" s="11" t="s">
        <v>55</v>
      </c>
      <c r="I174" s="15" t="s">
        <v>635</v>
      </c>
      <c r="J174" s="15" t="s">
        <v>636</v>
      </c>
      <c r="K174" s="5" t="s">
        <v>30</v>
      </c>
      <c r="L174" s="5" t="s">
        <v>31</v>
      </c>
      <c r="M174" s="305">
        <v>1</v>
      </c>
      <c r="N174" s="309" t="s">
        <v>2532</v>
      </c>
      <c r="O174" s="309" t="s">
        <v>2531</v>
      </c>
      <c r="P174" s="275" t="s">
        <v>2584</v>
      </c>
    </row>
    <row r="175" spans="1:16" ht="193.2" hidden="1">
      <c r="A175" s="3" t="s">
        <v>590</v>
      </c>
      <c r="B175" s="3" t="s">
        <v>591</v>
      </c>
      <c r="C175" s="3" t="s">
        <v>619</v>
      </c>
      <c r="D175" s="7" t="s">
        <v>24</v>
      </c>
      <c r="E175" s="3">
        <v>2</v>
      </c>
      <c r="F175" s="4" t="s">
        <v>637</v>
      </c>
      <c r="G175" s="22" t="s">
        <v>638</v>
      </c>
      <c r="H175" s="11" t="s">
        <v>55</v>
      </c>
      <c r="I175" s="15" t="s">
        <v>639</v>
      </c>
      <c r="J175" s="15" t="s">
        <v>640</v>
      </c>
      <c r="K175" s="5" t="s">
        <v>30</v>
      </c>
      <c r="L175" s="5" t="s">
        <v>31</v>
      </c>
      <c r="M175" s="305">
        <v>1</v>
      </c>
      <c r="N175" s="309" t="s">
        <v>2529</v>
      </c>
      <c r="O175" s="309" t="s">
        <v>2528</v>
      </c>
      <c r="P175" s="275" t="s">
        <v>2584</v>
      </c>
    </row>
    <row r="176" spans="1:16" ht="27.6" hidden="1">
      <c r="A176" s="3" t="s">
        <v>590</v>
      </c>
      <c r="B176" s="3" t="s">
        <v>591</v>
      </c>
      <c r="C176" s="3" t="s">
        <v>619</v>
      </c>
      <c r="D176" s="8" t="s">
        <v>40</v>
      </c>
      <c r="E176" s="3">
        <v>3</v>
      </c>
      <c r="F176" s="4" t="s">
        <v>641</v>
      </c>
      <c r="G176" s="22" t="s">
        <v>642</v>
      </c>
      <c r="H176" s="11" t="s">
        <v>55</v>
      </c>
      <c r="I176" s="15" t="s">
        <v>635</v>
      </c>
      <c r="J176" s="15" t="s">
        <v>2480</v>
      </c>
      <c r="K176" s="5" t="s">
        <v>30</v>
      </c>
      <c r="L176" s="5" t="s">
        <v>31</v>
      </c>
      <c r="M176" s="305">
        <v>1</v>
      </c>
      <c r="N176" s="314" t="s">
        <v>2583</v>
      </c>
      <c r="O176" s="314"/>
      <c r="P176" s="275" t="s">
        <v>2584</v>
      </c>
    </row>
    <row r="177" spans="1:16" ht="55.2" hidden="1">
      <c r="A177" s="3" t="s">
        <v>590</v>
      </c>
      <c r="B177" s="3" t="s">
        <v>591</v>
      </c>
      <c r="C177" s="3" t="s">
        <v>619</v>
      </c>
      <c r="D177" s="8" t="s">
        <v>40</v>
      </c>
      <c r="E177" s="3">
        <v>3</v>
      </c>
      <c r="F177" s="4" t="s">
        <v>644</v>
      </c>
      <c r="G177" s="22" t="s">
        <v>645</v>
      </c>
      <c r="H177" s="11" t="s">
        <v>55</v>
      </c>
      <c r="I177" s="15" t="s">
        <v>646</v>
      </c>
      <c r="J177" s="15" t="s">
        <v>647</v>
      </c>
      <c r="K177" s="5" t="s">
        <v>23</v>
      </c>
      <c r="L177" s="5" t="s">
        <v>31</v>
      </c>
      <c r="M177" s="305"/>
      <c r="N177" s="314" t="s">
        <v>2603</v>
      </c>
      <c r="O177" s="315"/>
      <c r="P177" s="275" t="s">
        <v>2584</v>
      </c>
    </row>
    <row r="178" spans="1:16" ht="41.4" hidden="1">
      <c r="A178" s="3" t="s">
        <v>590</v>
      </c>
      <c r="B178" s="3" t="s">
        <v>591</v>
      </c>
      <c r="C178" s="3" t="s">
        <v>619</v>
      </c>
      <c r="D178" s="8" t="s">
        <v>40</v>
      </c>
      <c r="E178" s="3">
        <v>3</v>
      </c>
      <c r="F178" s="4" t="s">
        <v>648</v>
      </c>
      <c r="G178" s="22" t="s">
        <v>649</v>
      </c>
      <c r="H178" s="11" t="s">
        <v>21</v>
      </c>
      <c r="I178" s="15" t="s">
        <v>21</v>
      </c>
      <c r="J178" s="15" t="s">
        <v>643</v>
      </c>
      <c r="K178" s="11" t="s">
        <v>21</v>
      </c>
      <c r="L178" s="5" t="s">
        <v>31</v>
      </c>
      <c r="M178" s="305"/>
      <c r="N178" s="314" t="s">
        <v>2530</v>
      </c>
      <c r="O178" s="315"/>
      <c r="P178" s="275" t="s">
        <v>2584</v>
      </c>
    </row>
    <row r="179" spans="1:16" ht="124.2" hidden="1">
      <c r="A179" s="3" t="s">
        <v>590</v>
      </c>
      <c r="B179" s="3" t="s">
        <v>591</v>
      </c>
      <c r="C179" s="3" t="s">
        <v>619</v>
      </c>
      <c r="D179" s="8" t="s">
        <v>40</v>
      </c>
      <c r="E179" s="3">
        <v>3</v>
      </c>
      <c r="F179" s="4" t="s">
        <v>650</v>
      </c>
      <c r="G179" s="22" t="s">
        <v>651</v>
      </c>
      <c r="H179" s="11" t="s">
        <v>181</v>
      </c>
      <c r="I179" s="15" t="s">
        <v>652</v>
      </c>
      <c r="J179" s="15" t="s">
        <v>653</v>
      </c>
      <c r="K179" s="5" t="s">
        <v>23</v>
      </c>
      <c r="L179" s="5" t="s">
        <v>31</v>
      </c>
      <c r="M179" s="305"/>
      <c r="N179" s="314" t="s">
        <v>2603</v>
      </c>
      <c r="O179" s="309"/>
      <c r="P179" s="275" t="s">
        <v>2584</v>
      </c>
    </row>
    <row r="180" spans="1:16" ht="41.4" hidden="1">
      <c r="A180" s="3" t="s">
        <v>590</v>
      </c>
      <c r="B180" s="3" t="s">
        <v>591</v>
      </c>
      <c r="C180" s="3" t="s">
        <v>619</v>
      </c>
      <c r="D180" s="8" t="s">
        <v>40</v>
      </c>
      <c r="E180" s="3">
        <v>3</v>
      </c>
      <c r="F180" s="4" t="s">
        <v>654</v>
      </c>
      <c r="G180" s="22" t="s">
        <v>655</v>
      </c>
      <c r="H180" s="11" t="s">
        <v>55</v>
      </c>
      <c r="I180" s="15" t="s">
        <v>639</v>
      </c>
      <c r="J180" s="15" t="s">
        <v>656</v>
      </c>
      <c r="K180" s="5" t="s">
        <v>30</v>
      </c>
      <c r="L180" s="5" t="s">
        <v>31</v>
      </c>
      <c r="M180" s="305">
        <v>1</v>
      </c>
      <c r="N180" s="314" t="s">
        <v>2623</v>
      </c>
      <c r="O180" s="309"/>
      <c r="P180" s="275" t="s">
        <v>2584</v>
      </c>
    </row>
    <row r="181" spans="1:16" ht="96.6" hidden="1">
      <c r="A181" s="3" t="s">
        <v>590</v>
      </c>
      <c r="B181" s="3" t="s">
        <v>591</v>
      </c>
      <c r="C181" s="3" t="s">
        <v>619</v>
      </c>
      <c r="D181" s="8" t="s">
        <v>40</v>
      </c>
      <c r="E181" s="3">
        <v>3</v>
      </c>
      <c r="F181" s="4" t="s">
        <v>657</v>
      </c>
      <c r="G181" s="22" t="s">
        <v>658</v>
      </c>
      <c r="H181" s="11" t="s">
        <v>55</v>
      </c>
      <c r="I181" s="15" t="s">
        <v>659</v>
      </c>
      <c r="J181" s="15" t="s">
        <v>660</v>
      </c>
      <c r="K181" s="5" t="s">
        <v>23</v>
      </c>
      <c r="L181" s="5" t="s">
        <v>23</v>
      </c>
      <c r="M181" s="305"/>
      <c r="N181" s="314" t="s">
        <v>2615</v>
      </c>
      <c r="O181" s="313" t="s">
        <v>2622</v>
      </c>
      <c r="P181" s="275" t="s">
        <v>2584</v>
      </c>
    </row>
    <row r="182" spans="1:16" ht="386.4" hidden="1">
      <c r="A182" s="3" t="s">
        <v>590</v>
      </c>
      <c r="B182" s="3" t="s">
        <v>591</v>
      </c>
      <c r="C182" s="3" t="s">
        <v>619</v>
      </c>
      <c r="D182" s="12" t="s">
        <v>48</v>
      </c>
      <c r="E182" s="3">
        <v>4</v>
      </c>
      <c r="F182" s="4" t="s">
        <v>661</v>
      </c>
      <c r="G182" s="22" t="s">
        <v>662</v>
      </c>
      <c r="H182" s="11" t="s">
        <v>21</v>
      </c>
      <c r="I182" s="15" t="s">
        <v>21</v>
      </c>
      <c r="J182" s="15" t="s">
        <v>663</v>
      </c>
      <c r="K182" s="11" t="s">
        <v>21</v>
      </c>
      <c r="L182" s="5" t="s">
        <v>31</v>
      </c>
      <c r="M182" s="305"/>
      <c r="N182" s="314" t="s">
        <v>2530</v>
      </c>
      <c r="O182" s="309"/>
      <c r="P182" s="275" t="s">
        <v>2584</v>
      </c>
    </row>
    <row r="183" spans="1:16" ht="69" hidden="1">
      <c r="A183" s="3" t="s">
        <v>590</v>
      </c>
      <c r="B183" s="3" t="s">
        <v>591</v>
      </c>
      <c r="C183" s="3" t="s">
        <v>619</v>
      </c>
      <c r="D183" s="12" t="s">
        <v>48</v>
      </c>
      <c r="E183" s="3">
        <v>4</v>
      </c>
      <c r="F183" s="4" t="s">
        <v>664</v>
      </c>
      <c r="G183" s="22" t="s">
        <v>665</v>
      </c>
      <c r="H183" s="11" t="s">
        <v>55</v>
      </c>
      <c r="I183" s="15" t="s">
        <v>666</v>
      </c>
      <c r="J183" s="15" t="s">
        <v>667</v>
      </c>
      <c r="K183" s="5" t="s">
        <v>30</v>
      </c>
      <c r="L183" s="5" t="s">
        <v>31</v>
      </c>
      <c r="M183" s="305"/>
      <c r="N183" s="314" t="s">
        <v>2530</v>
      </c>
      <c r="O183" s="309"/>
      <c r="P183" s="275" t="s">
        <v>2584</v>
      </c>
    </row>
    <row r="184" spans="1:16" ht="96.6" hidden="1">
      <c r="A184" s="3" t="s">
        <v>590</v>
      </c>
      <c r="B184" s="3" t="s">
        <v>591</v>
      </c>
      <c r="C184" s="3" t="s">
        <v>619</v>
      </c>
      <c r="D184" s="10" t="s">
        <v>52</v>
      </c>
      <c r="E184" s="3">
        <v>5</v>
      </c>
      <c r="F184" s="4" t="s">
        <v>668</v>
      </c>
      <c r="G184" s="22" t="s">
        <v>669</v>
      </c>
      <c r="H184" s="11" t="s">
        <v>21</v>
      </c>
      <c r="I184" s="15" t="s">
        <v>21</v>
      </c>
      <c r="J184" s="15" t="s">
        <v>670</v>
      </c>
      <c r="K184" s="11" t="s">
        <v>21</v>
      </c>
      <c r="L184" s="5" t="s">
        <v>31</v>
      </c>
      <c r="M184" s="305"/>
      <c r="N184" s="314" t="s">
        <v>2530</v>
      </c>
      <c r="O184" s="309"/>
      <c r="P184" s="275" t="s">
        <v>2584</v>
      </c>
    </row>
    <row r="185" spans="1:16" ht="69" hidden="1">
      <c r="A185" s="3" t="s">
        <v>590</v>
      </c>
      <c r="B185" s="3" t="s">
        <v>591</v>
      </c>
      <c r="C185" s="3" t="s">
        <v>619</v>
      </c>
      <c r="D185" s="10" t="s">
        <v>52</v>
      </c>
      <c r="E185" s="3">
        <v>5</v>
      </c>
      <c r="F185" s="4" t="s">
        <v>671</v>
      </c>
      <c r="G185" s="22" t="s">
        <v>672</v>
      </c>
      <c r="H185" s="11" t="s">
        <v>21</v>
      </c>
      <c r="I185" s="15" t="s">
        <v>21</v>
      </c>
      <c r="J185" s="15" t="s">
        <v>673</v>
      </c>
      <c r="K185" s="11" t="s">
        <v>21</v>
      </c>
      <c r="L185" s="5" t="s">
        <v>31</v>
      </c>
      <c r="M185" s="305"/>
      <c r="N185" s="314" t="s">
        <v>2530</v>
      </c>
      <c r="O185" s="309"/>
      <c r="P185" s="275" t="s">
        <v>2584</v>
      </c>
    </row>
    <row r="186" spans="1:16" ht="167.55" hidden="1" customHeight="1">
      <c r="A186" s="3" t="s">
        <v>674</v>
      </c>
      <c r="B186" s="3" t="s">
        <v>675</v>
      </c>
      <c r="C186" s="3" t="s">
        <v>676</v>
      </c>
      <c r="D186" s="6" t="s">
        <v>18</v>
      </c>
      <c r="E186" s="3">
        <v>1</v>
      </c>
      <c r="F186" s="4" t="s">
        <v>677</v>
      </c>
      <c r="G186" s="4" t="s">
        <v>678</v>
      </c>
      <c r="H186" s="11" t="s">
        <v>21</v>
      </c>
      <c r="I186" s="15" t="s">
        <v>21</v>
      </c>
      <c r="J186" s="15" t="s">
        <v>679</v>
      </c>
      <c r="K186" s="11" t="s">
        <v>21</v>
      </c>
      <c r="L186" s="5" t="s">
        <v>31</v>
      </c>
      <c r="M186" s="305"/>
      <c r="N186" s="309"/>
      <c r="O186" s="309"/>
      <c r="P186" s="275" t="s">
        <v>2593</v>
      </c>
    </row>
    <row r="187" spans="1:16" ht="124.2" hidden="1">
      <c r="A187" s="3" t="s">
        <v>674</v>
      </c>
      <c r="B187" s="3" t="s">
        <v>675</v>
      </c>
      <c r="C187" s="3" t="s">
        <v>676</v>
      </c>
      <c r="D187" s="7" t="s">
        <v>24</v>
      </c>
      <c r="E187" s="3">
        <v>2</v>
      </c>
      <c r="F187" s="4" t="s">
        <v>680</v>
      </c>
      <c r="G187" s="4" t="s">
        <v>681</v>
      </c>
      <c r="H187" s="11" t="s">
        <v>27</v>
      </c>
      <c r="I187" s="15" t="s">
        <v>682</v>
      </c>
      <c r="J187" s="15" t="s">
        <v>683</v>
      </c>
      <c r="K187" s="5" t="s">
        <v>23</v>
      </c>
      <c r="L187" s="5" t="s">
        <v>23</v>
      </c>
      <c r="M187" s="305"/>
      <c r="N187" s="309"/>
      <c r="O187" s="309" t="s">
        <v>2517</v>
      </c>
      <c r="P187" s="275" t="s">
        <v>2594</v>
      </c>
    </row>
    <row r="188" spans="1:16" ht="193.2" hidden="1">
      <c r="A188" s="3" t="s">
        <v>674</v>
      </c>
      <c r="B188" s="3" t="s">
        <v>675</v>
      </c>
      <c r="C188" s="3" t="s">
        <v>676</v>
      </c>
      <c r="D188" s="7" t="s">
        <v>24</v>
      </c>
      <c r="E188" s="3">
        <v>2</v>
      </c>
      <c r="F188" s="4" t="s">
        <v>684</v>
      </c>
      <c r="G188" s="4" t="s">
        <v>685</v>
      </c>
      <c r="H188" s="11" t="s">
        <v>27</v>
      </c>
      <c r="I188" s="15" t="s">
        <v>686</v>
      </c>
      <c r="J188" s="15" t="s">
        <v>687</v>
      </c>
      <c r="K188" s="5" t="s">
        <v>31</v>
      </c>
      <c r="L188" s="5" t="s">
        <v>31</v>
      </c>
      <c r="M188" s="305">
        <v>1</v>
      </c>
      <c r="N188" s="309"/>
      <c r="O188" s="309"/>
      <c r="P188" s="275" t="s">
        <v>2593</v>
      </c>
    </row>
    <row r="189" spans="1:16" ht="109.05" hidden="1" customHeight="1">
      <c r="A189" s="3" t="s">
        <v>674</v>
      </c>
      <c r="B189" s="3" t="s">
        <v>675</v>
      </c>
      <c r="C189" s="3" t="s">
        <v>676</v>
      </c>
      <c r="D189" s="7" t="s">
        <v>24</v>
      </c>
      <c r="E189" s="3">
        <v>2</v>
      </c>
      <c r="F189" s="4" t="s">
        <v>688</v>
      </c>
      <c r="G189" s="4" t="s">
        <v>689</v>
      </c>
      <c r="H189" s="11" t="s">
        <v>27</v>
      </c>
      <c r="I189" s="15" t="s">
        <v>686</v>
      </c>
      <c r="J189" s="15" t="s">
        <v>690</v>
      </c>
      <c r="K189" s="5" t="s">
        <v>31</v>
      </c>
      <c r="L189" s="5" t="s">
        <v>31</v>
      </c>
      <c r="M189" s="305">
        <v>1</v>
      </c>
      <c r="N189" s="309"/>
      <c r="O189" s="309"/>
      <c r="P189" s="275" t="s">
        <v>2593</v>
      </c>
    </row>
    <row r="190" spans="1:16" ht="151.80000000000001" hidden="1">
      <c r="A190" s="3" t="s">
        <v>674</v>
      </c>
      <c r="B190" s="3" t="s">
        <v>675</v>
      </c>
      <c r="C190" s="3" t="s">
        <v>676</v>
      </c>
      <c r="D190" s="8" t="s">
        <v>40</v>
      </c>
      <c r="E190" s="3">
        <v>3</v>
      </c>
      <c r="F190" s="4" t="s">
        <v>691</v>
      </c>
      <c r="G190" s="4" t="s">
        <v>692</v>
      </c>
      <c r="H190" s="11" t="s">
        <v>181</v>
      </c>
      <c r="I190" s="15" t="s">
        <v>693</v>
      </c>
      <c r="J190" s="15" t="s">
        <v>694</v>
      </c>
      <c r="K190" s="5" t="s">
        <v>31</v>
      </c>
      <c r="L190" s="5" t="s">
        <v>31</v>
      </c>
      <c r="M190" s="305"/>
      <c r="N190" s="309"/>
      <c r="O190" s="309"/>
      <c r="P190" s="275" t="s">
        <v>2593</v>
      </c>
    </row>
    <row r="191" spans="1:16" ht="138" hidden="1">
      <c r="A191" s="3" t="s">
        <v>674</v>
      </c>
      <c r="B191" s="3" t="s">
        <v>675</v>
      </c>
      <c r="C191" s="3" t="s">
        <v>676</v>
      </c>
      <c r="D191" s="8" t="s">
        <v>40</v>
      </c>
      <c r="E191" s="3">
        <v>3</v>
      </c>
      <c r="F191" s="4" t="s">
        <v>695</v>
      </c>
      <c r="G191" s="4" t="s">
        <v>696</v>
      </c>
      <c r="H191" s="11" t="s">
        <v>21</v>
      </c>
      <c r="I191" s="15" t="s">
        <v>21</v>
      </c>
      <c r="J191" s="15" t="s">
        <v>697</v>
      </c>
      <c r="K191" s="11" t="s">
        <v>21</v>
      </c>
      <c r="L191" s="5" t="s">
        <v>31</v>
      </c>
      <c r="M191" s="305"/>
      <c r="N191" s="309"/>
      <c r="O191" s="309"/>
      <c r="P191" s="275" t="s">
        <v>2593</v>
      </c>
    </row>
    <row r="192" spans="1:16" ht="82.8" hidden="1">
      <c r="A192" s="3" t="s">
        <v>674</v>
      </c>
      <c r="B192" s="3" t="s">
        <v>675</v>
      </c>
      <c r="C192" s="3" t="s">
        <v>676</v>
      </c>
      <c r="D192" s="8" t="s">
        <v>40</v>
      </c>
      <c r="E192" s="3">
        <v>3</v>
      </c>
      <c r="F192" s="4" t="s">
        <v>698</v>
      </c>
      <c r="G192" s="4" t="s">
        <v>699</v>
      </c>
      <c r="H192" s="11" t="s">
        <v>21</v>
      </c>
      <c r="I192" s="15" t="s">
        <v>21</v>
      </c>
      <c r="J192" s="15" t="s">
        <v>700</v>
      </c>
      <c r="K192" s="11" t="s">
        <v>21</v>
      </c>
      <c r="L192" s="5" t="s">
        <v>31</v>
      </c>
      <c r="M192" s="305"/>
      <c r="N192" s="309"/>
      <c r="O192" s="309"/>
      <c r="P192" s="275" t="s">
        <v>2593</v>
      </c>
    </row>
    <row r="193" spans="1:16" ht="409.6" hidden="1">
      <c r="A193" s="3" t="s">
        <v>674</v>
      </c>
      <c r="B193" s="3" t="s">
        <v>675</v>
      </c>
      <c r="C193" s="3" t="s">
        <v>676</v>
      </c>
      <c r="D193" s="12" t="s">
        <v>48</v>
      </c>
      <c r="E193" s="3">
        <v>4</v>
      </c>
      <c r="F193" s="4" t="s">
        <v>701</v>
      </c>
      <c r="G193" s="4" t="s">
        <v>702</v>
      </c>
      <c r="H193" s="11" t="s">
        <v>55</v>
      </c>
      <c r="I193" s="15" t="s">
        <v>703</v>
      </c>
      <c r="J193" s="15" t="s">
        <v>704</v>
      </c>
      <c r="K193" s="5" t="s">
        <v>31</v>
      </c>
      <c r="L193" s="5" t="s">
        <v>31</v>
      </c>
      <c r="M193" s="305">
        <v>1</v>
      </c>
      <c r="N193" s="309"/>
      <c r="O193" s="309"/>
      <c r="P193" s="275" t="s">
        <v>2593</v>
      </c>
    </row>
    <row r="194" spans="1:16" ht="372.6" hidden="1">
      <c r="A194" s="3" t="s">
        <v>674</v>
      </c>
      <c r="B194" s="3" t="s">
        <v>675</v>
      </c>
      <c r="C194" s="3" t="s">
        <v>676</v>
      </c>
      <c r="D194" s="12" t="s">
        <v>48</v>
      </c>
      <c r="E194" s="3">
        <v>4</v>
      </c>
      <c r="F194" s="4" t="s">
        <v>705</v>
      </c>
      <c r="G194" s="4" t="s">
        <v>706</v>
      </c>
      <c r="H194" s="11" t="s">
        <v>21</v>
      </c>
      <c r="I194" s="15" t="s">
        <v>21</v>
      </c>
      <c r="J194" s="15" t="s">
        <v>707</v>
      </c>
      <c r="K194" s="11" t="s">
        <v>21</v>
      </c>
      <c r="L194" s="5" t="s">
        <v>31</v>
      </c>
      <c r="M194" s="305"/>
      <c r="N194" s="309"/>
      <c r="O194" s="309"/>
      <c r="P194" s="275" t="s">
        <v>2593</v>
      </c>
    </row>
    <row r="195" spans="1:16" ht="96.6" hidden="1">
      <c r="A195" s="3" t="s">
        <v>674</v>
      </c>
      <c r="B195" s="3" t="s">
        <v>675</v>
      </c>
      <c r="C195" s="3" t="s">
        <v>676</v>
      </c>
      <c r="D195" s="10" t="s">
        <v>52</v>
      </c>
      <c r="E195" s="3">
        <v>5</v>
      </c>
      <c r="F195" s="4" t="s">
        <v>708</v>
      </c>
      <c r="G195" s="4" t="s">
        <v>709</v>
      </c>
      <c r="H195" s="11" t="s">
        <v>21</v>
      </c>
      <c r="I195" s="15" t="s">
        <v>21</v>
      </c>
      <c r="J195" s="15" t="s">
        <v>710</v>
      </c>
      <c r="K195" s="11" t="s">
        <v>21</v>
      </c>
      <c r="L195" s="5" t="s">
        <v>31</v>
      </c>
      <c r="M195" s="305"/>
      <c r="N195" s="309"/>
      <c r="O195" s="309"/>
      <c r="P195" s="275" t="s">
        <v>2593</v>
      </c>
    </row>
    <row r="196" spans="1:16" ht="262.2" hidden="1">
      <c r="A196" s="3" t="s">
        <v>674</v>
      </c>
      <c r="B196" s="3" t="s">
        <v>675</v>
      </c>
      <c r="C196" s="3" t="s">
        <v>676</v>
      </c>
      <c r="D196" s="10" t="s">
        <v>52</v>
      </c>
      <c r="E196" s="3">
        <v>5</v>
      </c>
      <c r="F196" s="4" t="s">
        <v>711</v>
      </c>
      <c r="G196" s="4" t="s">
        <v>712</v>
      </c>
      <c r="H196" s="11" t="s">
        <v>21</v>
      </c>
      <c r="I196" s="15" t="s">
        <v>21</v>
      </c>
      <c r="J196" s="15" t="s">
        <v>713</v>
      </c>
      <c r="K196" s="11" t="s">
        <v>21</v>
      </c>
      <c r="L196" s="5" t="s">
        <v>31</v>
      </c>
      <c r="M196" s="305"/>
      <c r="N196" s="309"/>
      <c r="O196" s="309"/>
      <c r="P196" s="275" t="s">
        <v>2593</v>
      </c>
    </row>
    <row r="197" spans="1:16" ht="110.4" hidden="1">
      <c r="A197" s="3" t="s">
        <v>674</v>
      </c>
      <c r="B197" s="3" t="s">
        <v>675</v>
      </c>
      <c r="C197" s="3" t="s">
        <v>676</v>
      </c>
      <c r="D197" s="10" t="s">
        <v>52</v>
      </c>
      <c r="E197" s="3">
        <v>5</v>
      </c>
      <c r="F197" s="4" t="s">
        <v>714</v>
      </c>
      <c r="G197" s="4" t="s">
        <v>715</v>
      </c>
      <c r="H197" s="11" t="s">
        <v>21</v>
      </c>
      <c r="I197" s="15" t="s">
        <v>21</v>
      </c>
      <c r="J197" s="15" t="s">
        <v>716</v>
      </c>
      <c r="K197" s="11" t="s">
        <v>21</v>
      </c>
      <c r="L197" s="5" t="s">
        <v>31</v>
      </c>
      <c r="M197" s="305"/>
      <c r="N197" s="309"/>
      <c r="O197" s="309"/>
      <c r="P197" s="275" t="s">
        <v>2593</v>
      </c>
    </row>
    <row r="198" spans="1:16" ht="41.4" hidden="1">
      <c r="A198" s="3" t="s">
        <v>674</v>
      </c>
      <c r="B198" s="3" t="s">
        <v>675</v>
      </c>
      <c r="C198" s="3" t="s">
        <v>717</v>
      </c>
      <c r="D198" s="6" t="s">
        <v>18</v>
      </c>
      <c r="E198" s="3">
        <v>1</v>
      </c>
      <c r="F198" s="22" t="s">
        <v>718</v>
      </c>
      <c r="G198" s="22" t="s">
        <v>719</v>
      </c>
      <c r="H198" s="11" t="s">
        <v>21</v>
      </c>
      <c r="I198" s="15" t="s">
        <v>21</v>
      </c>
      <c r="J198" s="15" t="s">
        <v>720</v>
      </c>
      <c r="K198" s="11" t="s">
        <v>21</v>
      </c>
      <c r="L198" s="5" t="s">
        <v>31</v>
      </c>
      <c r="M198" s="305"/>
      <c r="N198" s="309"/>
      <c r="O198" s="309"/>
      <c r="P198" s="275" t="s">
        <v>2584</v>
      </c>
    </row>
    <row r="199" spans="1:16" ht="27.6" hidden="1">
      <c r="A199" s="3" t="s">
        <v>674</v>
      </c>
      <c r="B199" s="3" t="s">
        <v>675</v>
      </c>
      <c r="C199" s="3" t="s">
        <v>717</v>
      </c>
      <c r="D199" s="7" t="s">
        <v>24</v>
      </c>
      <c r="E199" s="3">
        <v>2</v>
      </c>
      <c r="F199" s="22" t="s">
        <v>721</v>
      </c>
      <c r="G199" s="22" t="s">
        <v>722</v>
      </c>
      <c r="H199" s="11" t="s">
        <v>55</v>
      </c>
      <c r="I199" s="15" t="s">
        <v>723</v>
      </c>
      <c r="J199" s="15" t="s">
        <v>724</v>
      </c>
      <c r="K199" s="5" t="s">
        <v>31</v>
      </c>
      <c r="L199" s="5" t="s">
        <v>31</v>
      </c>
      <c r="M199" s="305"/>
      <c r="N199" s="309"/>
      <c r="O199" s="309"/>
      <c r="P199" s="275" t="s">
        <v>2584</v>
      </c>
    </row>
    <row r="200" spans="1:16" ht="110.4" hidden="1">
      <c r="A200" s="3" t="s">
        <v>674</v>
      </c>
      <c r="B200" s="3" t="s">
        <v>675</v>
      </c>
      <c r="C200" s="3" t="s">
        <v>717</v>
      </c>
      <c r="D200" s="7" t="s">
        <v>24</v>
      </c>
      <c r="E200" s="3">
        <v>2</v>
      </c>
      <c r="F200" s="4" t="s">
        <v>725</v>
      </c>
      <c r="G200" s="4" t="s">
        <v>726</v>
      </c>
      <c r="H200" s="11" t="s">
        <v>55</v>
      </c>
      <c r="I200" s="15" t="s">
        <v>727</v>
      </c>
      <c r="J200" s="15" t="s">
        <v>728</v>
      </c>
      <c r="K200" s="5" t="s">
        <v>31</v>
      </c>
      <c r="L200" s="5" t="s">
        <v>31</v>
      </c>
      <c r="M200" s="305"/>
      <c r="N200" s="309"/>
      <c r="O200" s="309"/>
      <c r="P200" s="275" t="s">
        <v>2584</v>
      </c>
    </row>
    <row r="201" spans="1:16" ht="124.2" hidden="1">
      <c r="A201" s="3" t="s">
        <v>674</v>
      </c>
      <c r="B201" s="3" t="s">
        <v>675</v>
      </c>
      <c r="C201" s="3" t="s">
        <v>717</v>
      </c>
      <c r="D201" s="7" t="s">
        <v>24</v>
      </c>
      <c r="E201" s="3">
        <v>2</v>
      </c>
      <c r="F201" s="4" t="s">
        <v>729</v>
      </c>
      <c r="G201" s="4" t="s">
        <v>730</v>
      </c>
      <c r="H201" s="11" t="s">
        <v>55</v>
      </c>
      <c r="I201" s="15" t="s">
        <v>731</v>
      </c>
      <c r="J201" s="15" t="s">
        <v>732</v>
      </c>
      <c r="K201" s="5" t="s">
        <v>31</v>
      </c>
      <c r="L201" s="5" t="s">
        <v>31</v>
      </c>
      <c r="M201" s="305"/>
      <c r="N201" s="309"/>
      <c r="O201" s="309"/>
      <c r="P201" s="275" t="s">
        <v>2584</v>
      </c>
    </row>
    <row r="202" spans="1:16" ht="138" hidden="1">
      <c r="A202" s="3" t="s">
        <v>674</v>
      </c>
      <c r="B202" s="3" t="s">
        <v>675</v>
      </c>
      <c r="C202" s="3" t="s">
        <v>717</v>
      </c>
      <c r="D202" s="8" t="s">
        <v>40</v>
      </c>
      <c r="E202" s="3">
        <v>3</v>
      </c>
      <c r="F202" s="4" t="s">
        <v>733</v>
      </c>
      <c r="G202" s="4" t="s">
        <v>734</v>
      </c>
      <c r="H202" s="11" t="s">
        <v>55</v>
      </c>
      <c r="I202" s="15" t="s">
        <v>735</v>
      </c>
      <c r="J202" s="15" t="s">
        <v>736</v>
      </c>
      <c r="K202" s="5" t="s">
        <v>31</v>
      </c>
      <c r="L202" s="5" t="s">
        <v>31</v>
      </c>
      <c r="M202" s="305"/>
      <c r="N202" s="309"/>
      <c r="O202" s="309"/>
      <c r="P202" s="275" t="s">
        <v>2584</v>
      </c>
    </row>
    <row r="203" spans="1:16" ht="409.6" hidden="1">
      <c r="A203" s="3" t="s">
        <v>674</v>
      </c>
      <c r="B203" s="3" t="s">
        <v>675</v>
      </c>
      <c r="C203" s="3" t="s">
        <v>717</v>
      </c>
      <c r="D203" s="12" t="s">
        <v>48</v>
      </c>
      <c r="E203" s="3">
        <v>4</v>
      </c>
      <c r="F203" s="4" t="s">
        <v>737</v>
      </c>
      <c r="G203" s="4" t="s">
        <v>738</v>
      </c>
      <c r="H203" s="11" t="s">
        <v>55</v>
      </c>
      <c r="I203" s="15" t="s">
        <v>739</v>
      </c>
      <c r="J203" s="15" t="s">
        <v>740</v>
      </c>
      <c r="K203" s="5" t="s">
        <v>31</v>
      </c>
      <c r="L203" s="5" t="s">
        <v>31</v>
      </c>
      <c r="M203" s="305">
        <v>1</v>
      </c>
      <c r="N203" s="309"/>
      <c r="O203" s="309"/>
      <c r="P203" s="275" t="s">
        <v>2584</v>
      </c>
    </row>
    <row r="204" spans="1:16" ht="179.4" hidden="1">
      <c r="A204" s="3" t="s">
        <v>674</v>
      </c>
      <c r="B204" s="3" t="s">
        <v>675</v>
      </c>
      <c r="C204" s="3" t="s">
        <v>717</v>
      </c>
      <c r="D204" s="10" t="s">
        <v>52</v>
      </c>
      <c r="E204" s="3">
        <v>5</v>
      </c>
      <c r="F204" s="4" t="s">
        <v>741</v>
      </c>
      <c r="G204" s="4" t="s">
        <v>742</v>
      </c>
      <c r="H204" s="11" t="s">
        <v>21</v>
      </c>
      <c r="I204" s="15" t="s">
        <v>21</v>
      </c>
      <c r="J204" s="15" t="s">
        <v>743</v>
      </c>
      <c r="K204" s="11" t="s">
        <v>21</v>
      </c>
      <c r="L204" s="5" t="s">
        <v>31</v>
      </c>
      <c r="M204" s="305"/>
      <c r="N204" s="309"/>
      <c r="O204" s="309"/>
      <c r="P204" s="275" t="s">
        <v>2584</v>
      </c>
    </row>
    <row r="205" spans="1:16" ht="69" hidden="1">
      <c r="A205" s="23" t="s">
        <v>744</v>
      </c>
      <c r="B205" s="3" t="s">
        <v>745</v>
      </c>
      <c r="C205" s="3" t="s">
        <v>746</v>
      </c>
      <c r="D205" s="6" t="s">
        <v>18</v>
      </c>
      <c r="E205" s="3">
        <v>1</v>
      </c>
      <c r="F205" s="4" t="s">
        <v>747</v>
      </c>
      <c r="G205" s="4" t="s">
        <v>748</v>
      </c>
      <c r="H205" s="11" t="s">
        <v>21</v>
      </c>
      <c r="I205" s="15" t="s">
        <v>21</v>
      </c>
      <c r="J205" s="15" t="s">
        <v>749</v>
      </c>
      <c r="K205" s="11" t="s">
        <v>21</v>
      </c>
      <c r="L205" s="5" t="s">
        <v>23</v>
      </c>
      <c r="M205" s="305"/>
      <c r="N205" s="310"/>
      <c r="O205" s="309" t="s">
        <v>2508</v>
      </c>
      <c r="P205" s="275" t="s">
        <v>2587</v>
      </c>
    </row>
    <row r="206" spans="1:16" ht="110.4" hidden="1">
      <c r="A206" s="23" t="s">
        <v>744</v>
      </c>
      <c r="B206" s="3" t="s">
        <v>745</v>
      </c>
      <c r="C206" s="3" t="s">
        <v>746</v>
      </c>
      <c r="D206" s="7" t="s">
        <v>24</v>
      </c>
      <c r="E206" s="3">
        <v>2</v>
      </c>
      <c r="F206" s="4" t="s">
        <v>750</v>
      </c>
      <c r="G206" s="4" t="s">
        <v>751</v>
      </c>
      <c r="H206" s="11" t="s">
        <v>27</v>
      </c>
      <c r="I206" s="15" t="s">
        <v>752</v>
      </c>
      <c r="J206" s="15" t="s">
        <v>753</v>
      </c>
      <c r="K206" s="5" t="s">
        <v>23</v>
      </c>
      <c r="L206" s="5" t="s">
        <v>23</v>
      </c>
      <c r="M206" s="305"/>
      <c r="N206" s="309"/>
      <c r="O206" s="309" t="s">
        <v>2488</v>
      </c>
      <c r="P206" s="275" t="s">
        <v>2588</v>
      </c>
    </row>
    <row r="207" spans="1:16" ht="223.95" hidden="1" customHeight="1">
      <c r="A207" s="23" t="s">
        <v>744</v>
      </c>
      <c r="B207" s="3" t="s">
        <v>745</v>
      </c>
      <c r="C207" s="3" t="s">
        <v>746</v>
      </c>
      <c r="D207" s="7" t="s">
        <v>24</v>
      </c>
      <c r="E207" s="3">
        <v>2</v>
      </c>
      <c r="F207" s="4" t="s">
        <v>754</v>
      </c>
      <c r="G207" s="4" t="s">
        <v>755</v>
      </c>
      <c r="H207" s="11" t="s">
        <v>27</v>
      </c>
      <c r="I207" s="15" t="s">
        <v>756</v>
      </c>
      <c r="J207" s="15" t="s">
        <v>757</v>
      </c>
      <c r="K207" s="5" t="s">
        <v>23</v>
      </c>
      <c r="L207" s="5" t="s">
        <v>23</v>
      </c>
      <c r="M207" s="305"/>
      <c r="N207" s="309"/>
      <c r="O207" s="309" t="s">
        <v>2506</v>
      </c>
      <c r="P207" s="275" t="s">
        <v>2586</v>
      </c>
    </row>
    <row r="208" spans="1:16" ht="82.8" hidden="1">
      <c r="A208" s="23" t="s">
        <v>744</v>
      </c>
      <c r="B208" s="3" t="s">
        <v>745</v>
      </c>
      <c r="C208" s="3" t="s">
        <v>746</v>
      </c>
      <c r="D208" s="7" t="s">
        <v>24</v>
      </c>
      <c r="E208" s="3">
        <v>2</v>
      </c>
      <c r="F208" s="4" t="s">
        <v>758</v>
      </c>
      <c r="G208" s="4" t="s">
        <v>759</v>
      </c>
      <c r="H208" s="11" t="s">
        <v>21</v>
      </c>
      <c r="I208" s="15" t="s">
        <v>21</v>
      </c>
      <c r="J208" s="15" t="s">
        <v>760</v>
      </c>
      <c r="K208" s="11" t="s">
        <v>21</v>
      </c>
      <c r="L208" s="5" t="s">
        <v>31</v>
      </c>
      <c r="M208" s="305"/>
      <c r="N208" s="309" t="s">
        <v>2548</v>
      </c>
      <c r="O208" s="309"/>
      <c r="P208" s="275" t="s">
        <v>2586</v>
      </c>
    </row>
    <row r="209" spans="1:16" ht="41.4" hidden="1">
      <c r="A209" s="23" t="s">
        <v>744</v>
      </c>
      <c r="B209" s="3" t="s">
        <v>745</v>
      </c>
      <c r="C209" s="3" t="s">
        <v>746</v>
      </c>
      <c r="D209" s="7" t="s">
        <v>24</v>
      </c>
      <c r="E209" s="3">
        <v>2</v>
      </c>
      <c r="F209" s="4" t="s">
        <v>761</v>
      </c>
      <c r="G209" s="34" t="s">
        <v>762</v>
      </c>
      <c r="H209" s="11" t="s">
        <v>27</v>
      </c>
      <c r="I209" s="15" t="s">
        <v>763</v>
      </c>
      <c r="J209" s="15" t="s">
        <v>764</v>
      </c>
      <c r="K209" s="5" t="s">
        <v>31</v>
      </c>
      <c r="L209" s="5" t="s">
        <v>31</v>
      </c>
      <c r="M209" s="305">
        <v>1</v>
      </c>
      <c r="N209" s="309"/>
      <c r="O209" s="309"/>
      <c r="P209" s="275" t="s">
        <v>2586</v>
      </c>
    </row>
    <row r="210" spans="1:16" ht="124.2" hidden="1">
      <c r="A210" s="23" t="s">
        <v>744</v>
      </c>
      <c r="B210" s="3" t="s">
        <v>745</v>
      </c>
      <c r="C210" s="3" t="s">
        <v>746</v>
      </c>
      <c r="D210" s="7" t="s">
        <v>24</v>
      </c>
      <c r="E210" s="3">
        <v>2</v>
      </c>
      <c r="F210" s="4" t="s">
        <v>765</v>
      </c>
      <c r="G210" s="4" t="s">
        <v>766</v>
      </c>
      <c r="H210" s="11" t="s">
        <v>27</v>
      </c>
      <c r="I210" s="15" t="s">
        <v>763</v>
      </c>
      <c r="J210" s="15" t="s">
        <v>767</v>
      </c>
      <c r="K210" s="5" t="s">
        <v>31</v>
      </c>
      <c r="L210" s="5" t="s">
        <v>31</v>
      </c>
      <c r="M210" s="305">
        <v>1</v>
      </c>
      <c r="N210" s="309"/>
      <c r="O210" s="309"/>
      <c r="P210" s="275" t="s">
        <v>2586</v>
      </c>
    </row>
    <row r="211" spans="1:16" ht="138" hidden="1">
      <c r="A211" s="23" t="s">
        <v>744</v>
      </c>
      <c r="B211" s="3" t="s">
        <v>745</v>
      </c>
      <c r="C211" s="3" t="s">
        <v>746</v>
      </c>
      <c r="D211" s="7" t="s">
        <v>24</v>
      </c>
      <c r="E211" s="3">
        <v>2</v>
      </c>
      <c r="F211" s="4" t="s">
        <v>768</v>
      </c>
      <c r="G211" s="4" t="s">
        <v>769</v>
      </c>
      <c r="H211" s="11" t="s">
        <v>21</v>
      </c>
      <c r="I211" s="15" t="s">
        <v>21</v>
      </c>
      <c r="J211" s="15" t="s">
        <v>770</v>
      </c>
      <c r="K211" s="11" t="s">
        <v>21</v>
      </c>
      <c r="L211" s="5" t="s">
        <v>31</v>
      </c>
      <c r="M211" s="305"/>
      <c r="N211" s="309" t="s">
        <v>2640</v>
      </c>
      <c r="O211" s="309"/>
      <c r="P211" s="275" t="s">
        <v>2586</v>
      </c>
    </row>
    <row r="212" spans="1:16" ht="151.80000000000001" hidden="1">
      <c r="A212" s="23" t="s">
        <v>744</v>
      </c>
      <c r="B212" s="3" t="s">
        <v>745</v>
      </c>
      <c r="C212" s="3" t="s">
        <v>746</v>
      </c>
      <c r="D212" s="8" t="s">
        <v>40</v>
      </c>
      <c r="E212" s="3">
        <v>3</v>
      </c>
      <c r="F212" s="4" t="s">
        <v>771</v>
      </c>
      <c r="G212" s="2" t="s">
        <v>772</v>
      </c>
      <c r="H212" s="11" t="s">
        <v>21</v>
      </c>
      <c r="I212" s="15" t="s">
        <v>21</v>
      </c>
      <c r="J212" s="15" t="s">
        <v>773</v>
      </c>
      <c r="K212" s="11" t="s">
        <v>21</v>
      </c>
      <c r="L212" s="5" t="s">
        <v>31</v>
      </c>
      <c r="M212" s="305"/>
      <c r="N212" s="309" t="s">
        <v>2550</v>
      </c>
      <c r="O212" s="309" t="s">
        <v>2549</v>
      </c>
      <c r="P212" s="275" t="s">
        <v>2587</v>
      </c>
    </row>
    <row r="213" spans="1:16" ht="151.80000000000001" hidden="1">
      <c r="A213" s="23" t="s">
        <v>744</v>
      </c>
      <c r="B213" s="3" t="s">
        <v>745</v>
      </c>
      <c r="C213" s="3" t="s">
        <v>746</v>
      </c>
      <c r="D213" s="8" t="s">
        <v>40</v>
      </c>
      <c r="E213" s="3">
        <v>3</v>
      </c>
      <c r="F213" s="4" t="s">
        <v>774</v>
      </c>
      <c r="G213" s="1" t="s">
        <v>775</v>
      </c>
      <c r="H213" s="11" t="s">
        <v>21</v>
      </c>
      <c r="I213" s="15" t="s">
        <v>21</v>
      </c>
      <c r="J213" s="15" t="s">
        <v>776</v>
      </c>
      <c r="K213" s="11" t="s">
        <v>21</v>
      </c>
      <c r="L213" s="5" t="s">
        <v>31</v>
      </c>
      <c r="M213" s="305"/>
      <c r="N213" s="309" t="s">
        <v>2550</v>
      </c>
      <c r="O213" s="309" t="s">
        <v>2549</v>
      </c>
      <c r="P213" s="275" t="s">
        <v>2587</v>
      </c>
    </row>
    <row r="214" spans="1:16" ht="27.6" hidden="1">
      <c r="A214" s="23" t="s">
        <v>744</v>
      </c>
      <c r="B214" s="3" t="s">
        <v>745</v>
      </c>
      <c r="C214" s="3" t="s">
        <v>746</v>
      </c>
      <c r="D214" s="8" t="s">
        <v>40</v>
      </c>
      <c r="E214" s="3">
        <v>3</v>
      </c>
      <c r="F214" s="4" t="s">
        <v>777</v>
      </c>
      <c r="G214" s="2" t="s">
        <v>778</v>
      </c>
      <c r="H214" s="11" t="s">
        <v>27</v>
      </c>
      <c r="I214" s="15" t="s">
        <v>779</v>
      </c>
      <c r="J214" s="15" t="s">
        <v>780</v>
      </c>
      <c r="K214" s="5" t="s">
        <v>31</v>
      </c>
      <c r="L214" s="5" t="s">
        <v>31</v>
      </c>
      <c r="M214" s="305"/>
      <c r="N214" s="309"/>
      <c r="O214" s="309"/>
      <c r="P214" s="275" t="s">
        <v>2599</v>
      </c>
    </row>
    <row r="215" spans="1:16" ht="90" hidden="1" customHeight="1">
      <c r="A215" s="23" t="s">
        <v>744</v>
      </c>
      <c r="B215" s="3" t="s">
        <v>745</v>
      </c>
      <c r="C215" s="3" t="s">
        <v>746</v>
      </c>
      <c r="D215" s="8" t="s">
        <v>40</v>
      </c>
      <c r="E215" s="3">
        <v>3</v>
      </c>
      <c r="F215" s="4" t="s">
        <v>781</v>
      </c>
      <c r="G215" s="2" t="s">
        <v>782</v>
      </c>
      <c r="H215" s="11" t="s">
        <v>21</v>
      </c>
      <c r="I215" s="15" t="s">
        <v>21</v>
      </c>
      <c r="J215" s="15" t="s">
        <v>783</v>
      </c>
      <c r="K215" s="11" t="s">
        <v>21</v>
      </c>
      <c r="L215" s="5" t="s">
        <v>31</v>
      </c>
      <c r="M215" s="305"/>
      <c r="N215" s="309"/>
      <c r="O215" s="309"/>
      <c r="P215" s="275" t="s">
        <v>2587</v>
      </c>
    </row>
    <row r="216" spans="1:16" ht="110.4" hidden="1">
      <c r="A216" s="23" t="s">
        <v>744</v>
      </c>
      <c r="B216" s="3" t="s">
        <v>745</v>
      </c>
      <c r="C216" s="3" t="s">
        <v>746</v>
      </c>
      <c r="D216" s="8" t="s">
        <v>40</v>
      </c>
      <c r="E216" s="3">
        <v>3</v>
      </c>
      <c r="F216" s="4" t="s">
        <v>784</v>
      </c>
      <c r="G216" s="4" t="s">
        <v>785</v>
      </c>
      <c r="H216" s="11" t="s">
        <v>55</v>
      </c>
      <c r="I216" s="15" t="s">
        <v>786</v>
      </c>
      <c r="J216" s="15" t="s">
        <v>787</v>
      </c>
      <c r="K216" s="5" t="s">
        <v>31</v>
      </c>
      <c r="L216" s="5" t="s">
        <v>31</v>
      </c>
      <c r="M216" s="305"/>
      <c r="N216" s="309"/>
      <c r="O216" s="309"/>
      <c r="P216" s="275" t="s">
        <v>2587</v>
      </c>
    </row>
    <row r="217" spans="1:16" ht="409.6" hidden="1">
      <c r="A217" s="23" t="s">
        <v>744</v>
      </c>
      <c r="B217" s="3" t="s">
        <v>745</v>
      </c>
      <c r="C217" s="3" t="s">
        <v>746</v>
      </c>
      <c r="D217" s="12" t="s">
        <v>48</v>
      </c>
      <c r="E217" s="3">
        <v>4</v>
      </c>
      <c r="F217" s="4" t="s">
        <v>788</v>
      </c>
      <c r="G217" s="34" t="s">
        <v>789</v>
      </c>
      <c r="H217" s="11" t="s">
        <v>21</v>
      </c>
      <c r="I217" s="15" t="s">
        <v>21</v>
      </c>
      <c r="J217" s="15" t="s">
        <v>790</v>
      </c>
      <c r="K217" s="11" t="s">
        <v>21</v>
      </c>
      <c r="L217" s="5" t="s">
        <v>31</v>
      </c>
      <c r="M217" s="305"/>
      <c r="N217" s="309"/>
      <c r="O217" s="309"/>
      <c r="P217" s="275" t="s">
        <v>2587</v>
      </c>
    </row>
    <row r="218" spans="1:16" ht="110.4" hidden="1">
      <c r="A218" s="23" t="s">
        <v>744</v>
      </c>
      <c r="B218" s="3" t="s">
        <v>745</v>
      </c>
      <c r="C218" s="3" t="s">
        <v>746</v>
      </c>
      <c r="D218" s="10" t="s">
        <v>52</v>
      </c>
      <c r="E218" s="3">
        <v>5</v>
      </c>
      <c r="F218" s="4" t="s">
        <v>791</v>
      </c>
      <c r="G218" s="34" t="s">
        <v>792</v>
      </c>
      <c r="H218" s="11" t="s">
        <v>21</v>
      </c>
      <c r="I218" s="15" t="s">
        <v>21</v>
      </c>
      <c r="J218" s="15" t="s">
        <v>793</v>
      </c>
      <c r="K218" s="11" t="s">
        <v>21</v>
      </c>
      <c r="L218" s="5" t="s">
        <v>31</v>
      </c>
      <c r="M218" s="305"/>
      <c r="N218" s="309"/>
      <c r="O218" s="309"/>
      <c r="P218" s="275" t="s">
        <v>2587</v>
      </c>
    </row>
    <row r="219" spans="1:16" ht="69" hidden="1">
      <c r="A219" s="23" t="s">
        <v>744</v>
      </c>
      <c r="B219" s="3" t="s">
        <v>745</v>
      </c>
      <c r="C219" s="3" t="s">
        <v>794</v>
      </c>
      <c r="D219" s="6" t="s">
        <v>18</v>
      </c>
      <c r="E219" s="3">
        <v>1</v>
      </c>
      <c r="F219" s="4" t="s">
        <v>795</v>
      </c>
      <c r="G219" s="4" t="s">
        <v>796</v>
      </c>
      <c r="H219" s="11" t="s">
        <v>21</v>
      </c>
      <c r="I219" s="15" t="s">
        <v>21</v>
      </c>
      <c r="J219" s="15" t="s">
        <v>797</v>
      </c>
      <c r="K219" s="11" t="s">
        <v>21</v>
      </c>
      <c r="L219" s="5" t="s">
        <v>23</v>
      </c>
      <c r="M219" s="305"/>
      <c r="N219" s="310" t="s">
        <v>2641</v>
      </c>
      <c r="O219" s="309" t="s">
        <v>2551</v>
      </c>
      <c r="P219" s="275" t="s">
        <v>2586</v>
      </c>
    </row>
    <row r="220" spans="1:16" ht="303.60000000000002" hidden="1">
      <c r="A220" s="23" t="s">
        <v>744</v>
      </c>
      <c r="B220" s="3" t="s">
        <v>745</v>
      </c>
      <c r="C220" s="3" t="s">
        <v>794</v>
      </c>
      <c r="D220" s="7" t="s">
        <v>24</v>
      </c>
      <c r="E220" s="3">
        <v>2</v>
      </c>
      <c r="F220" s="4" t="s">
        <v>798</v>
      </c>
      <c r="G220" s="34" t="s">
        <v>799</v>
      </c>
      <c r="H220" s="11" t="s">
        <v>27</v>
      </c>
      <c r="I220" s="15" t="s">
        <v>800</v>
      </c>
      <c r="J220" s="15" t="s">
        <v>801</v>
      </c>
      <c r="K220" s="5" t="s">
        <v>23</v>
      </c>
      <c r="L220" s="5" t="s">
        <v>2572</v>
      </c>
      <c r="M220" s="305"/>
      <c r="N220" s="309" t="s">
        <v>2626</v>
      </c>
      <c r="O220" s="309" t="s">
        <v>2507</v>
      </c>
      <c r="P220" s="275" t="s">
        <v>2588</v>
      </c>
    </row>
    <row r="221" spans="1:16" ht="55.2" hidden="1">
      <c r="A221" s="23" t="s">
        <v>744</v>
      </c>
      <c r="B221" s="3" t="s">
        <v>745</v>
      </c>
      <c r="C221" s="3" t="s">
        <v>794</v>
      </c>
      <c r="D221" s="7" t="s">
        <v>24</v>
      </c>
      <c r="E221" s="3">
        <v>2</v>
      </c>
      <c r="F221" s="4" t="s">
        <v>802</v>
      </c>
      <c r="G221" s="2" t="s">
        <v>803</v>
      </c>
      <c r="H221" s="11" t="s">
        <v>181</v>
      </c>
      <c r="I221" s="15" t="s">
        <v>804</v>
      </c>
      <c r="J221" s="15" t="s">
        <v>805</v>
      </c>
      <c r="K221" s="5" t="s">
        <v>31</v>
      </c>
      <c r="L221" s="5" t="s">
        <v>31</v>
      </c>
      <c r="M221" s="305"/>
      <c r="N221" s="309"/>
      <c r="O221" s="309"/>
      <c r="P221" s="275" t="s">
        <v>2589</v>
      </c>
    </row>
    <row r="222" spans="1:16" ht="27.6" hidden="1">
      <c r="A222" s="23" t="s">
        <v>744</v>
      </c>
      <c r="B222" s="3" t="s">
        <v>745</v>
      </c>
      <c r="C222" s="3" t="s">
        <v>794</v>
      </c>
      <c r="D222" s="7" t="s">
        <v>24</v>
      </c>
      <c r="E222" s="3">
        <v>2</v>
      </c>
      <c r="F222" s="4" t="s">
        <v>806</v>
      </c>
      <c r="G222" s="2" t="s">
        <v>807</v>
      </c>
      <c r="H222" s="11" t="s">
        <v>55</v>
      </c>
      <c r="I222" s="15" t="s">
        <v>808</v>
      </c>
      <c r="J222" s="15" t="s">
        <v>809</v>
      </c>
      <c r="K222" s="5" t="s">
        <v>31</v>
      </c>
      <c r="L222" s="5" t="s">
        <v>31</v>
      </c>
      <c r="M222" s="305">
        <v>1</v>
      </c>
      <c r="N222" s="309"/>
      <c r="O222" s="309"/>
      <c r="P222" s="275" t="s">
        <v>2587</v>
      </c>
    </row>
    <row r="223" spans="1:16" ht="55.2" hidden="1">
      <c r="A223" s="23" t="s">
        <v>744</v>
      </c>
      <c r="B223" s="3" t="s">
        <v>745</v>
      </c>
      <c r="C223" s="3" t="s">
        <v>794</v>
      </c>
      <c r="D223" s="7" t="s">
        <v>24</v>
      </c>
      <c r="E223" s="3">
        <v>2</v>
      </c>
      <c r="F223" s="4" t="s">
        <v>810</v>
      </c>
      <c r="G223" s="2" t="s">
        <v>811</v>
      </c>
      <c r="H223" s="11" t="s">
        <v>55</v>
      </c>
      <c r="I223" s="15" t="s">
        <v>812</v>
      </c>
      <c r="J223" s="15" t="s">
        <v>813</v>
      </c>
      <c r="K223" s="5" t="s">
        <v>31</v>
      </c>
      <c r="L223" s="5" t="s">
        <v>31</v>
      </c>
      <c r="M223" s="305">
        <v>1</v>
      </c>
      <c r="N223" s="309"/>
      <c r="O223" s="309"/>
      <c r="P223" s="275" t="s">
        <v>2589</v>
      </c>
    </row>
    <row r="224" spans="1:16" ht="55.2" hidden="1">
      <c r="A224" s="23" t="s">
        <v>744</v>
      </c>
      <c r="B224" s="3" t="s">
        <v>745</v>
      </c>
      <c r="C224" s="3" t="s">
        <v>794</v>
      </c>
      <c r="D224" s="7" t="s">
        <v>24</v>
      </c>
      <c r="E224" s="3">
        <v>2</v>
      </c>
      <c r="F224" s="4" t="s">
        <v>814</v>
      </c>
      <c r="G224" s="4" t="s">
        <v>815</v>
      </c>
      <c r="H224" s="11" t="s">
        <v>21</v>
      </c>
      <c r="I224" s="15" t="s">
        <v>21</v>
      </c>
      <c r="J224" s="15" t="s">
        <v>816</v>
      </c>
      <c r="K224" s="11" t="s">
        <v>21</v>
      </c>
      <c r="L224" s="5" t="s">
        <v>31</v>
      </c>
      <c r="M224" s="305"/>
      <c r="N224" s="309"/>
      <c r="O224" s="309"/>
      <c r="P224" s="275" t="s">
        <v>2590</v>
      </c>
    </row>
    <row r="225" spans="1:16" ht="69" hidden="1">
      <c r="A225" s="23" t="s">
        <v>744</v>
      </c>
      <c r="B225" s="3" t="s">
        <v>745</v>
      </c>
      <c r="C225" s="3" t="s">
        <v>794</v>
      </c>
      <c r="D225" s="8" t="s">
        <v>40</v>
      </c>
      <c r="E225" s="3">
        <v>3</v>
      </c>
      <c r="F225" s="4" t="s">
        <v>817</v>
      </c>
      <c r="G225" s="4" t="s">
        <v>818</v>
      </c>
      <c r="H225" s="11" t="s">
        <v>55</v>
      </c>
      <c r="I225" s="15" t="s">
        <v>808</v>
      </c>
      <c r="J225" s="15" t="s">
        <v>819</v>
      </c>
      <c r="K225" s="5" t="s">
        <v>31</v>
      </c>
      <c r="L225" s="5" t="s">
        <v>31</v>
      </c>
      <c r="M225" s="305">
        <v>1</v>
      </c>
      <c r="N225" s="309"/>
      <c r="O225" s="309"/>
      <c r="P225" s="275" t="s">
        <v>2649</v>
      </c>
    </row>
    <row r="226" spans="1:16" ht="55.2" hidden="1">
      <c r="A226" s="23" t="s">
        <v>744</v>
      </c>
      <c r="B226" s="3" t="s">
        <v>745</v>
      </c>
      <c r="C226" s="3" t="s">
        <v>794</v>
      </c>
      <c r="D226" s="8" t="s">
        <v>40</v>
      </c>
      <c r="E226" s="3">
        <v>3</v>
      </c>
      <c r="F226" s="4" t="s">
        <v>820</v>
      </c>
      <c r="G226" s="2" t="s">
        <v>821</v>
      </c>
      <c r="H226" s="11" t="s">
        <v>55</v>
      </c>
      <c r="I226" s="15" t="s">
        <v>812</v>
      </c>
      <c r="J226" s="15" t="s">
        <v>822</v>
      </c>
      <c r="K226" s="5" t="s">
        <v>31</v>
      </c>
      <c r="L226" s="5" t="s">
        <v>31</v>
      </c>
      <c r="M226" s="305">
        <v>1</v>
      </c>
      <c r="N226" s="309"/>
      <c r="O226" s="309"/>
      <c r="P226" s="275" t="s">
        <v>2649</v>
      </c>
    </row>
    <row r="227" spans="1:16" ht="55.2" hidden="1">
      <c r="A227" s="23" t="s">
        <v>744</v>
      </c>
      <c r="B227" s="3" t="s">
        <v>745</v>
      </c>
      <c r="C227" s="3" t="s">
        <v>794</v>
      </c>
      <c r="D227" s="8" t="s">
        <v>40</v>
      </c>
      <c r="E227" s="3">
        <v>3</v>
      </c>
      <c r="F227" s="4" t="s">
        <v>823</v>
      </c>
      <c r="G227" s="2" t="s">
        <v>824</v>
      </c>
      <c r="H227" s="11" t="s">
        <v>21</v>
      </c>
      <c r="I227" s="15" t="s">
        <v>21</v>
      </c>
      <c r="J227" s="15" t="s">
        <v>825</v>
      </c>
      <c r="K227" s="11" t="s">
        <v>21</v>
      </c>
      <c r="L227" s="5" t="s">
        <v>31</v>
      </c>
      <c r="M227" s="305"/>
      <c r="N227" s="309"/>
      <c r="O227" s="309"/>
      <c r="P227" s="275" t="s">
        <v>2649</v>
      </c>
    </row>
    <row r="228" spans="1:16" ht="27.6" hidden="1">
      <c r="A228" s="23" t="s">
        <v>744</v>
      </c>
      <c r="B228" s="3" t="s">
        <v>745</v>
      </c>
      <c r="C228" s="3" t="s">
        <v>794</v>
      </c>
      <c r="D228" s="8" t="s">
        <v>40</v>
      </c>
      <c r="E228" s="3">
        <v>3</v>
      </c>
      <c r="F228" s="4" t="s">
        <v>826</v>
      </c>
      <c r="G228" s="2" t="s">
        <v>827</v>
      </c>
      <c r="H228" s="11" t="s">
        <v>21</v>
      </c>
      <c r="I228" s="15" t="s">
        <v>21</v>
      </c>
      <c r="J228" s="15" t="s">
        <v>828</v>
      </c>
      <c r="K228" s="11" t="s">
        <v>21</v>
      </c>
      <c r="L228" s="5" t="s">
        <v>31</v>
      </c>
      <c r="M228" s="305"/>
      <c r="N228" s="309"/>
      <c r="O228" s="309"/>
      <c r="P228" s="275" t="s">
        <v>2587</v>
      </c>
    </row>
    <row r="229" spans="1:16" ht="82.8" hidden="1">
      <c r="A229" s="23" t="s">
        <v>744</v>
      </c>
      <c r="B229" s="3" t="s">
        <v>745</v>
      </c>
      <c r="C229" s="3" t="s">
        <v>794</v>
      </c>
      <c r="D229" s="8" t="s">
        <v>40</v>
      </c>
      <c r="E229" s="3">
        <v>3</v>
      </c>
      <c r="F229" s="4" t="s">
        <v>829</v>
      </c>
      <c r="G229" s="4" t="s">
        <v>830</v>
      </c>
      <c r="H229" s="11" t="s">
        <v>21</v>
      </c>
      <c r="I229" s="15" t="s">
        <v>21</v>
      </c>
      <c r="J229" s="15" t="s">
        <v>831</v>
      </c>
      <c r="K229" s="11" t="s">
        <v>21</v>
      </c>
      <c r="L229" s="5" t="s">
        <v>31</v>
      </c>
      <c r="M229" s="305"/>
      <c r="N229" s="309"/>
      <c r="O229" s="309"/>
      <c r="P229" s="275" t="s">
        <v>2587</v>
      </c>
    </row>
    <row r="230" spans="1:16" ht="69" hidden="1">
      <c r="A230" s="23" t="s">
        <v>744</v>
      </c>
      <c r="B230" s="3" t="s">
        <v>745</v>
      </c>
      <c r="C230" s="3" t="s">
        <v>794</v>
      </c>
      <c r="D230" s="8" t="s">
        <v>40</v>
      </c>
      <c r="E230" s="3">
        <v>3</v>
      </c>
      <c r="F230" s="4" t="s">
        <v>832</v>
      </c>
      <c r="G230" s="4" t="s">
        <v>833</v>
      </c>
      <c r="H230" s="11" t="s">
        <v>55</v>
      </c>
      <c r="I230" s="15" t="s">
        <v>834</v>
      </c>
      <c r="J230" s="15" t="s">
        <v>835</v>
      </c>
      <c r="K230" s="5" t="s">
        <v>31</v>
      </c>
      <c r="L230" s="5" t="s">
        <v>31</v>
      </c>
      <c r="M230" s="305"/>
      <c r="N230" s="309"/>
      <c r="O230" s="309"/>
      <c r="P230" s="275" t="s">
        <v>2650</v>
      </c>
    </row>
    <row r="231" spans="1:16" ht="409.6" hidden="1">
      <c r="A231" s="23" t="s">
        <v>744</v>
      </c>
      <c r="B231" s="3" t="s">
        <v>745</v>
      </c>
      <c r="C231" s="3" t="s">
        <v>794</v>
      </c>
      <c r="D231" s="12" t="s">
        <v>48</v>
      </c>
      <c r="E231" s="3">
        <v>4</v>
      </c>
      <c r="F231" s="4" t="s">
        <v>836</v>
      </c>
      <c r="G231" s="34" t="s">
        <v>837</v>
      </c>
      <c r="H231" s="11" t="s">
        <v>55</v>
      </c>
      <c r="I231" s="15" t="s">
        <v>838</v>
      </c>
      <c r="J231" s="15" t="s">
        <v>839</v>
      </c>
      <c r="K231" s="5" t="s">
        <v>31</v>
      </c>
      <c r="L231" s="5" t="s">
        <v>31</v>
      </c>
      <c r="M231" s="305"/>
      <c r="N231" s="309"/>
      <c r="O231" s="309"/>
      <c r="P231" s="275" t="s">
        <v>2587</v>
      </c>
    </row>
    <row r="232" spans="1:16" ht="124.2" hidden="1">
      <c r="A232" s="23" t="s">
        <v>744</v>
      </c>
      <c r="B232" s="3" t="s">
        <v>745</v>
      </c>
      <c r="C232" s="3" t="s">
        <v>794</v>
      </c>
      <c r="D232" s="10" t="s">
        <v>52</v>
      </c>
      <c r="E232" s="3">
        <v>5</v>
      </c>
      <c r="F232" s="4" t="s">
        <v>840</v>
      </c>
      <c r="G232" s="4" t="s">
        <v>841</v>
      </c>
      <c r="H232" s="11" t="s">
        <v>21</v>
      </c>
      <c r="I232" s="15" t="s">
        <v>21</v>
      </c>
      <c r="J232" s="15" t="s">
        <v>842</v>
      </c>
      <c r="K232" s="11" t="s">
        <v>21</v>
      </c>
      <c r="L232" s="5" t="s">
        <v>31</v>
      </c>
      <c r="M232" s="305"/>
      <c r="N232" s="309"/>
      <c r="O232" s="309"/>
      <c r="P232" s="275" t="s">
        <v>2587</v>
      </c>
    </row>
    <row r="233" spans="1:16" ht="82.8" hidden="1">
      <c r="A233" s="23" t="s">
        <v>744</v>
      </c>
      <c r="B233" s="3" t="s">
        <v>745</v>
      </c>
      <c r="C233" s="3" t="s">
        <v>843</v>
      </c>
      <c r="D233" s="6" t="s">
        <v>18</v>
      </c>
      <c r="E233" s="3">
        <v>1</v>
      </c>
      <c r="F233" s="4" t="s">
        <v>844</v>
      </c>
      <c r="G233" s="4" t="s">
        <v>845</v>
      </c>
      <c r="H233" s="11" t="s">
        <v>21</v>
      </c>
      <c r="I233" s="15" t="s">
        <v>21</v>
      </c>
      <c r="J233" s="15" t="s">
        <v>846</v>
      </c>
      <c r="K233" s="11" t="s">
        <v>21</v>
      </c>
      <c r="L233" s="5" t="s">
        <v>23</v>
      </c>
      <c r="M233" s="305"/>
      <c r="N233" s="310" t="s">
        <v>2530</v>
      </c>
      <c r="O233" s="310" t="s">
        <v>2552</v>
      </c>
      <c r="P233" s="275" t="s">
        <v>2589</v>
      </c>
    </row>
    <row r="234" spans="1:16" ht="69" hidden="1">
      <c r="A234" s="23" t="s">
        <v>744</v>
      </c>
      <c r="B234" s="3" t="s">
        <v>745</v>
      </c>
      <c r="C234" s="3" t="s">
        <v>843</v>
      </c>
      <c r="D234" s="7" t="s">
        <v>24</v>
      </c>
      <c r="E234" s="3">
        <v>2</v>
      </c>
      <c r="F234" s="4" t="s">
        <v>847</v>
      </c>
      <c r="G234" s="4" t="s">
        <v>848</v>
      </c>
      <c r="H234" s="11" t="s">
        <v>21</v>
      </c>
      <c r="I234" s="15" t="s">
        <v>21</v>
      </c>
      <c r="J234" s="15" t="s">
        <v>849</v>
      </c>
      <c r="K234" s="11" t="s">
        <v>21</v>
      </c>
      <c r="L234" s="5" t="s">
        <v>23</v>
      </c>
      <c r="M234" s="305"/>
      <c r="N234" s="309"/>
      <c r="O234" s="309" t="s">
        <v>2508</v>
      </c>
      <c r="P234" s="275" t="s">
        <v>2589</v>
      </c>
    </row>
    <row r="235" spans="1:16" ht="234.6" hidden="1">
      <c r="A235" s="23" t="s">
        <v>744</v>
      </c>
      <c r="B235" s="3" t="s">
        <v>745</v>
      </c>
      <c r="C235" s="3" t="s">
        <v>843</v>
      </c>
      <c r="D235" s="8" t="s">
        <v>40</v>
      </c>
      <c r="E235" s="3">
        <v>3</v>
      </c>
      <c r="F235" s="4" t="s">
        <v>850</v>
      </c>
      <c r="G235" s="4" t="s">
        <v>851</v>
      </c>
      <c r="H235" s="11" t="s">
        <v>181</v>
      </c>
      <c r="I235" s="15" t="s">
        <v>852</v>
      </c>
      <c r="J235" s="15" t="s">
        <v>853</v>
      </c>
      <c r="K235" s="5" t="s">
        <v>31</v>
      </c>
      <c r="L235" s="5" t="s">
        <v>31</v>
      </c>
      <c r="M235" s="305"/>
      <c r="N235" s="309" t="s">
        <v>2639</v>
      </c>
      <c r="O235" s="309" t="s">
        <v>2508</v>
      </c>
      <c r="P235" s="275" t="s">
        <v>2649</v>
      </c>
    </row>
    <row r="236" spans="1:16" ht="27.6" hidden="1">
      <c r="A236" s="23" t="s">
        <v>744</v>
      </c>
      <c r="B236" s="3" t="s">
        <v>745</v>
      </c>
      <c r="C236" s="3" t="s">
        <v>843</v>
      </c>
      <c r="D236" s="8" t="s">
        <v>40</v>
      </c>
      <c r="E236" s="3">
        <v>3</v>
      </c>
      <c r="F236" s="4" t="s">
        <v>854</v>
      </c>
      <c r="G236" s="2" t="s">
        <v>855</v>
      </c>
      <c r="H236" s="11" t="s">
        <v>21</v>
      </c>
      <c r="I236" s="15" t="s">
        <v>21</v>
      </c>
      <c r="J236" s="15" t="s">
        <v>856</v>
      </c>
      <c r="K236" s="11" t="s">
        <v>21</v>
      </c>
      <c r="L236" s="5" t="s">
        <v>31</v>
      </c>
      <c r="M236" s="305"/>
      <c r="N236" s="309"/>
      <c r="O236" s="309"/>
      <c r="P236" s="275" t="s">
        <v>2587</v>
      </c>
    </row>
    <row r="237" spans="1:16" ht="27.6" hidden="1">
      <c r="A237" s="23" t="s">
        <v>744</v>
      </c>
      <c r="B237" s="3" t="s">
        <v>745</v>
      </c>
      <c r="C237" s="3" t="s">
        <v>843</v>
      </c>
      <c r="D237" s="8" t="s">
        <v>40</v>
      </c>
      <c r="E237" s="3">
        <v>3</v>
      </c>
      <c r="F237" s="4" t="s">
        <v>857</v>
      </c>
      <c r="G237" s="2" t="s">
        <v>858</v>
      </c>
      <c r="H237" s="11" t="s">
        <v>21</v>
      </c>
      <c r="I237" s="15" t="s">
        <v>21</v>
      </c>
      <c r="J237" s="15" t="s">
        <v>859</v>
      </c>
      <c r="K237" s="11" t="s">
        <v>21</v>
      </c>
      <c r="L237" s="5" t="s">
        <v>31</v>
      </c>
      <c r="M237" s="305"/>
      <c r="N237" s="309"/>
      <c r="O237" s="309"/>
      <c r="P237" s="275" t="s">
        <v>2587</v>
      </c>
    </row>
    <row r="238" spans="1:16" ht="358.8" hidden="1">
      <c r="A238" s="23" t="s">
        <v>744</v>
      </c>
      <c r="B238" s="3" t="s">
        <v>745</v>
      </c>
      <c r="C238" s="3" t="s">
        <v>843</v>
      </c>
      <c r="D238" s="12" t="s">
        <v>48</v>
      </c>
      <c r="E238" s="3">
        <v>4</v>
      </c>
      <c r="F238" s="4" t="s">
        <v>860</v>
      </c>
      <c r="G238" s="34" t="s">
        <v>861</v>
      </c>
      <c r="H238" s="11" t="s">
        <v>21</v>
      </c>
      <c r="I238" s="15" t="s">
        <v>21</v>
      </c>
      <c r="J238" s="15" t="s">
        <v>862</v>
      </c>
      <c r="K238" s="11" t="s">
        <v>21</v>
      </c>
      <c r="L238" s="5" t="s">
        <v>31</v>
      </c>
      <c r="M238" s="305"/>
      <c r="N238" s="309"/>
      <c r="O238" s="309"/>
      <c r="P238" s="275" t="s">
        <v>2587</v>
      </c>
    </row>
    <row r="239" spans="1:16" ht="124.2" hidden="1">
      <c r="A239" s="23" t="s">
        <v>744</v>
      </c>
      <c r="B239" s="3" t="s">
        <v>745</v>
      </c>
      <c r="C239" s="3" t="s">
        <v>843</v>
      </c>
      <c r="D239" s="10" t="s">
        <v>52</v>
      </c>
      <c r="E239" s="3">
        <v>5</v>
      </c>
      <c r="F239" s="4" t="s">
        <v>863</v>
      </c>
      <c r="G239" s="4" t="s">
        <v>864</v>
      </c>
      <c r="H239" s="11" t="s">
        <v>21</v>
      </c>
      <c r="I239" s="15" t="s">
        <v>21</v>
      </c>
      <c r="J239" s="15" t="s">
        <v>865</v>
      </c>
      <c r="K239" s="11" t="s">
        <v>21</v>
      </c>
      <c r="L239" s="5" t="s">
        <v>31</v>
      </c>
      <c r="M239" s="305"/>
      <c r="N239" s="309"/>
      <c r="O239" s="309"/>
      <c r="P239" s="275" t="s">
        <v>2587</v>
      </c>
    </row>
    <row r="240" spans="1:16" ht="55.2" hidden="1">
      <c r="A240" s="3" t="s">
        <v>866</v>
      </c>
      <c r="B240" s="3" t="s">
        <v>867</v>
      </c>
      <c r="C240" s="3" t="s">
        <v>868</v>
      </c>
      <c r="D240" s="6" t="s">
        <v>18</v>
      </c>
      <c r="E240" s="3">
        <v>1</v>
      </c>
      <c r="F240" s="4" t="s">
        <v>869</v>
      </c>
      <c r="G240" s="4" t="s">
        <v>870</v>
      </c>
      <c r="H240" s="11" t="s">
        <v>21</v>
      </c>
      <c r="I240" s="15" t="s">
        <v>21</v>
      </c>
      <c r="J240" s="15" t="s">
        <v>871</v>
      </c>
      <c r="K240" s="11" t="s">
        <v>21</v>
      </c>
      <c r="L240" s="5" t="s">
        <v>23</v>
      </c>
      <c r="M240" s="305"/>
      <c r="N240" s="310"/>
      <c r="O240" s="310" t="s">
        <v>2488</v>
      </c>
      <c r="P240" s="275" t="s">
        <v>2584</v>
      </c>
    </row>
    <row r="241" spans="1:16" ht="138" hidden="1">
      <c r="A241" s="3" t="s">
        <v>866</v>
      </c>
      <c r="B241" s="3" t="s">
        <v>867</v>
      </c>
      <c r="C241" s="3" t="s">
        <v>868</v>
      </c>
      <c r="D241" s="7" t="s">
        <v>24</v>
      </c>
      <c r="E241" s="3">
        <v>2</v>
      </c>
      <c r="F241" s="4" t="s">
        <v>872</v>
      </c>
      <c r="G241" s="4" t="s">
        <v>873</v>
      </c>
      <c r="H241" s="11" t="s">
        <v>27</v>
      </c>
      <c r="I241" s="15" t="s">
        <v>874</v>
      </c>
      <c r="J241" s="15" t="s">
        <v>875</v>
      </c>
      <c r="K241" s="5" t="s">
        <v>23</v>
      </c>
      <c r="L241" s="5" t="s">
        <v>23</v>
      </c>
      <c r="M241" s="305"/>
      <c r="N241" s="310"/>
      <c r="O241" s="310" t="s">
        <v>2488</v>
      </c>
      <c r="P241" s="275" t="s">
        <v>2591</v>
      </c>
    </row>
    <row r="242" spans="1:16" ht="82.8" hidden="1">
      <c r="A242" s="3" t="s">
        <v>866</v>
      </c>
      <c r="B242" s="3" t="s">
        <v>867</v>
      </c>
      <c r="C242" s="3" t="s">
        <v>868</v>
      </c>
      <c r="D242" s="7" t="s">
        <v>24</v>
      </c>
      <c r="E242" s="3">
        <v>2</v>
      </c>
      <c r="F242" s="4" t="s">
        <v>876</v>
      </c>
      <c r="G242" s="2" t="s">
        <v>877</v>
      </c>
      <c r="H242" s="11" t="s">
        <v>27</v>
      </c>
      <c r="I242" s="15" t="s">
        <v>878</v>
      </c>
      <c r="J242" s="15" t="s">
        <v>879</v>
      </c>
      <c r="K242" s="5" t="s">
        <v>31</v>
      </c>
      <c r="L242" s="5" t="s">
        <v>31</v>
      </c>
      <c r="M242" s="305"/>
      <c r="N242" s="309"/>
      <c r="O242" s="309"/>
      <c r="P242" s="275" t="s">
        <v>2585</v>
      </c>
    </row>
    <row r="243" spans="1:16" ht="358.8" hidden="1">
      <c r="A243" s="3" t="s">
        <v>866</v>
      </c>
      <c r="B243" s="3" t="s">
        <v>867</v>
      </c>
      <c r="C243" s="3" t="s">
        <v>868</v>
      </c>
      <c r="D243" s="7" t="s">
        <v>24</v>
      </c>
      <c r="E243" s="3">
        <v>2</v>
      </c>
      <c r="F243" s="4" t="s">
        <v>880</v>
      </c>
      <c r="G243" s="4" t="s">
        <v>881</v>
      </c>
      <c r="H243" s="11" t="s">
        <v>27</v>
      </c>
      <c r="I243" s="15" t="s">
        <v>882</v>
      </c>
      <c r="J243" s="15" t="s">
        <v>883</v>
      </c>
      <c r="K243" s="5" t="s">
        <v>30</v>
      </c>
      <c r="L243" s="5" t="s">
        <v>2572</v>
      </c>
      <c r="M243" s="305"/>
      <c r="N243" s="309" t="s">
        <v>2544</v>
      </c>
      <c r="O243" s="309" t="s">
        <v>2544</v>
      </c>
      <c r="P243" s="275" t="s">
        <v>2585</v>
      </c>
    </row>
    <row r="244" spans="1:16" ht="69" hidden="1">
      <c r="A244" s="3" t="s">
        <v>866</v>
      </c>
      <c r="B244" s="3" t="s">
        <v>867</v>
      </c>
      <c r="C244" s="3" t="s">
        <v>868</v>
      </c>
      <c r="D244" s="7" t="s">
        <v>24</v>
      </c>
      <c r="E244" s="3">
        <v>2</v>
      </c>
      <c r="F244" s="4" t="s">
        <v>884</v>
      </c>
      <c r="G244" s="4" t="s">
        <v>885</v>
      </c>
      <c r="H244" s="11" t="s">
        <v>55</v>
      </c>
      <c r="I244" s="15" t="s">
        <v>886</v>
      </c>
      <c r="J244" s="15" t="s">
        <v>887</v>
      </c>
      <c r="K244" s="5" t="s">
        <v>31</v>
      </c>
      <c r="L244" s="5" t="s">
        <v>31</v>
      </c>
      <c r="M244" s="305">
        <v>1</v>
      </c>
      <c r="N244" s="309"/>
      <c r="O244" s="309"/>
      <c r="P244" s="275" t="s">
        <v>2585</v>
      </c>
    </row>
    <row r="245" spans="1:16" ht="165.6" hidden="1">
      <c r="A245" s="3" t="s">
        <v>866</v>
      </c>
      <c r="B245" s="3" t="s">
        <v>867</v>
      </c>
      <c r="C245" s="3" t="s">
        <v>868</v>
      </c>
      <c r="D245" s="7" t="s">
        <v>24</v>
      </c>
      <c r="E245" s="3">
        <v>2</v>
      </c>
      <c r="F245" s="4" t="s">
        <v>888</v>
      </c>
      <c r="G245" s="4" t="s">
        <v>889</v>
      </c>
      <c r="H245" s="11" t="s">
        <v>55</v>
      </c>
      <c r="I245" s="15" t="s">
        <v>890</v>
      </c>
      <c r="J245" s="15" t="s">
        <v>891</v>
      </c>
      <c r="K245" s="5" t="s">
        <v>31</v>
      </c>
      <c r="L245" s="5" t="s">
        <v>31</v>
      </c>
      <c r="M245" s="305">
        <v>1</v>
      </c>
      <c r="N245" s="309"/>
      <c r="O245" s="309"/>
      <c r="P245" s="275" t="s">
        <v>2585</v>
      </c>
    </row>
    <row r="246" spans="1:16" ht="151.80000000000001" hidden="1">
      <c r="A246" s="3" t="s">
        <v>866</v>
      </c>
      <c r="B246" s="3" t="s">
        <v>867</v>
      </c>
      <c r="C246" s="3" t="s">
        <v>868</v>
      </c>
      <c r="D246" s="8" t="s">
        <v>40</v>
      </c>
      <c r="E246" s="3">
        <v>3</v>
      </c>
      <c r="F246" s="4" t="s">
        <v>892</v>
      </c>
      <c r="G246" s="2" t="s">
        <v>893</v>
      </c>
      <c r="H246" s="11" t="s">
        <v>21</v>
      </c>
      <c r="I246" s="15" t="s">
        <v>21</v>
      </c>
      <c r="J246" s="15" t="s">
        <v>894</v>
      </c>
      <c r="K246" s="11" t="s">
        <v>21</v>
      </c>
      <c r="L246" s="5" t="s">
        <v>31</v>
      </c>
      <c r="M246" s="305"/>
      <c r="N246" s="309"/>
      <c r="O246" s="309"/>
      <c r="P246" s="275" t="s">
        <v>2585</v>
      </c>
    </row>
    <row r="247" spans="1:16" ht="55.2" hidden="1">
      <c r="A247" s="3" t="s">
        <v>866</v>
      </c>
      <c r="B247" s="3" t="s">
        <v>867</v>
      </c>
      <c r="C247" s="3" t="s">
        <v>868</v>
      </c>
      <c r="D247" s="8" t="s">
        <v>40</v>
      </c>
      <c r="E247" s="3">
        <v>3</v>
      </c>
      <c r="F247" s="4" t="s">
        <v>895</v>
      </c>
      <c r="G247" s="4" t="s">
        <v>896</v>
      </c>
      <c r="H247" s="11" t="s">
        <v>55</v>
      </c>
      <c r="I247" s="15" t="s">
        <v>886</v>
      </c>
      <c r="J247" s="15" t="s">
        <v>887</v>
      </c>
      <c r="K247" s="5" t="s">
        <v>31</v>
      </c>
      <c r="L247" s="5" t="s">
        <v>31</v>
      </c>
      <c r="M247" s="305">
        <v>1</v>
      </c>
      <c r="N247" s="309"/>
      <c r="O247" s="309"/>
      <c r="P247" s="275" t="s">
        <v>2585</v>
      </c>
    </row>
    <row r="248" spans="1:16" ht="96.6" hidden="1">
      <c r="A248" s="3" t="s">
        <v>866</v>
      </c>
      <c r="B248" s="3" t="s">
        <v>867</v>
      </c>
      <c r="C248" s="3" t="s">
        <v>868</v>
      </c>
      <c r="D248" s="8" t="s">
        <v>40</v>
      </c>
      <c r="E248" s="3">
        <v>3</v>
      </c>
      <c r="F248" s="4" t="s">
        <v>897</v>
      </c>
      <c r="G248" s="4" t="s">
        <v>898</v>
      </c>
      <c r="H248" s="11" t="s">
        <v>55</v>
      </c>
      <c r="I248" s="15" t="s">
        <v>890</v>
      </c>
      <c r="J248" s="15" t="s">
        <v>899</v>
      </c>
      <c r="K248" s="5" t="s">
        <v>31</v>
      </c>
      <c r="L248" s="5" t="s">
        <v>31</v>
      </c>
      <c r="M248" s="305">
        <v>1</v>
      </c>
      <c r="N248" s="309"/>
      <c r="O248" s="309"/>
      <c r="P248" s="275" t="s">
        <v>2585</v>
      </c>
    </row>
    <row r="249" spans="1:16" ht="82.8" hidden="1">
      <c r="A249" s="3" t="s">
        <v>866</v>
      </c>
      <c r="B249" s="3" t="s">
        <v>867</v>
      </c>
      <c r="C249" s="3" t="s">
        <v>868</v>
      </c>
      <c r="D249" s="8" t="s">
        <v>40</v>
      </c>
      <c r="E249" s="3">
        <v>3</v>
      </c>
      <c r="F249" s="4" t="s">
        <v>900</v>
      </c>
      <c r="G249" s="4" t="s">
        <v>901</v>
      </c>
      <c r="H249" s="11" t="s">
        <v>21</v>
      </c>
      <c r="I249" s="15" t="s">
        <v>21</v>
      </c>
      <c r="J249" s="15" t="s">
        <v>902</v>
      </c>
      <c r="K249" s="11" t="s">
        <v>21</v>
      </c>
      <c r="L249" s="5" t="s">
        <v>31</v>
      </c>
      <c r="M249" s="305"/>
      <c r="N249" s="309"/>
      <c r="O249" s="309"/>
      <c r="P249" s="275" t="s">
        <v>2585</v>
      </c>
    </row>
    <row r="250" spans="1:16" ht="82.8" hidden="1">
      <c r="A250" s="3" t="s">
        <v>866</v>
      </c>
      <c r="B250" s="3" t="s">
        <v>867</v>
      </c>
      <c r="C250" s="3" t="s">
        <v>868</v>
      </c>
      <c r="D250" s="8" t="s">
        <v>40</v>
      </c>
      <c r="E250" s="3">
        <v>3</v>
      </c>
      <c r="F250" s="4" t="s">
        <v>903</v>
      </c>
      <c r="G250" s="4" t="s">
        <v>904</v>
      </c>
      <c r="H250" s="11" t="s">
        <v>21</v>
      </c>
      <c r="I250" s="15" t="s">
        <v>21</v>
      </c>
      <c r="J250" s="15" t="s">
        <v>905</v>
      </c>
      <c r="K250" s="11" t="s">
        <v>21</v>
      </c>
      <c r="L250" s="5" t="s">
        <v>31</v>
      </c>
      <c r="M250" s="305"/>
      <c r="N250" s="309"/>
      <c r="O250" s="309"/>
      <c r="P250" s="275" t="s">
        <v>2585</v>
      </c>
    </row>
    <row r="251" spans="1:16" ht="41.4" hidden="1">
      <c r="A251" s="3" t="s">
        <v>866</v>
      </c>
      <c r="B251" s="3" t="s">
        <v>867</v>
      </c>
      <c r="C251" s="3" t="s">
        <v>868</v>
      </c>
      <c r="D251" s="8" t="s">
        <v>40</v>
      </c>
      <c r="E251" s="3">
        <v>3</v>
      </c>
      <c r="F251" s="4" t="s">
        <v>906</v>
      </c>
      <c r="G251" s="2" t="s">
        <v>907</v>
      </c>
      <c r="H251" s="11" t="s">
        <v>21</v>
      </c>
      <c r="I251" s="15" t="s">
        <v>21</v>
      </c>
      <c r="J251" s="15" t="s">
        <v>908</v>
      </c>
      <c r="K251" s="11" t="s">
        <v>21</v>
      </c>
      <c r="L251" s="5" t="s">
        <v>31</v>
      </c>
      <c r="M251" s="305"/>
      <c r="N251" s="309"/>
      <c r="O251" s="309"/>
      <c r="P251" s="275" t="s">
        <v>2585</v>
      </c>
    </row>
    <row r="252" spans="1:16" ht="41.4" hidden="1">
      <c r="A252" s="3" t="s">
        <v>866</v>
      </c>
      <c r="B252" s="3" t="s">
        <v>867</v>
      </c>
      <c r="C252" s="3" t="s">
        <v>868</v>
      </c>
      <c r="D252" s="8" t="s">
        <v>40</v>
      </c>
      <c r="E252" s="3">
        <v>3</v>
      </c>
      <c r="F252" s="4" t="s">
        <v>909</v>
      </c>
      <c r="G252" s="2" t="s">
        <v>910</v>
      </c>
      <c r="H252" s="11" t="s">
        <v>21</v>
      </c>
      <c r="I252" s="15" t="s">
        <v>21</v>
      </c>
      <c r="J252" s="15" t="s">
        <v>911</v>
      </c>
      <c r="K252" s="11" t="s">
        <v>21</v>
      </c>
      <c r="L252" s="5" t="s">
        <v>31</v>
      </c>
      <c r="M252" s="305"/>
      <c r="N252" s="309"/>
      <c r="O252" s="309"/>
      <c r="P252" s="275" t="s">
        <v>2585</v>
      </c>
    </row>
    <row r="253" spans="1:16" ht="409.6" hidden="1">
      <c r="A253" s="3" t="s">
        <v>866</v>
      </c>
      <c r="B253" s="3" t="s">
        <v>867</v>
      </c>
      <c r="C253" s="3" t="s">
        <v>868</v>
      </c>
      <c r="D253" s="12" t="s">
        <v>48</v>
      </c>
      <c r="E253" s="3">
        <v>4</v>
      </c>
      <c r="F253" s="4" t="s">
        <v>912</v>
      </c>
      <c r="G253" s="34" t="s">
        <v>913</v>
      </c>
      <c r="H253" s="11" t="s">
        <v>55</v>
      </c>
      <c r="I253" s="15" t="s">
        <v>914</v>
      </c>
      <c r="J253" s="15" t="s">
        <v>915</v>
      </c>
      <c r="K253" s="5" t="s">
        <v>31</v>
      </c>
      <c r="L253" s="5" t="s">
        <v>31</v>
      </c>
      <c r="M253" s="305"/>
      <c r="N253" s="309"/>
      <c r="O253" s="309"/>
      <c r="P253" s="275" t="s">
        <v>2585</v>
      </c>
    </row>
    <row r="254" spans="1:16" ht="96.6" hidden="1">
      <c r="A254" s="3" t="s">
        <v>866</v>
      </c>
      <c r="B254" s="3" t="s">
        <v>867</v>
      </c>
      <c r="C254" s="3" t="s">
        <v>868</v>
      </c>
      <c r="D254" s="10" t="s">
        <v>52</v>
      </c>
      <c r="E254" s="3">
        <v>5</v>
      </c>
      <c r="F254" s="34" t="s">
        <v>916</v>
      </c>
      <c r="G254" s="34" t="s">
        <v>917</v>
      </c>
      <c r="H254" s="11" t="s">
        <v>21</v>
      </c>
      <c r="I254" s="15" t="s">
        <v>21</v>
      </c>
      <c r="J254" s="15" t="s">
        <v>918</v>
      </c>
      <c r="K254" s="11" t="s">
        <v>21</v>
      </c>
      <c r="L254" s="5" t="s">
        <v>31</v>
      </c>
      <c r="M254" s="305"/>
      <c r="N254" s="309"/>
      <c r="O254" s="309"/>
      <c r="P254" s="275" t="s">
        <v>2585</v>
      </c>
    </row>
    <row r="255" spans="1:16" ht="67.05" hidden="1" customHeight="1">
      <c r="A255" s="3" t="s">
        <v>866</v>
      </c>
      <c r="B255" s="3" t="s">
        <v>867</v>
      </c>
      <c r="C255" s="3" t="s">
        <v>919</v>
      </c>
      <c r="D255" s="6" t="s">
        <v>18</v>
      </c>
      <c r="E255" s="3">
        <v>1</v>
      </c>
      <c r="F255" s="4" t="s">
        <v>920</v>
      </c>
      <c r="G255" s="2" t="s">
        <v>921</v>
      </c>
      <c r="H255" s="11" t="s">
        <v>21</v>
      </c>
      <c r="I255" s="15" t="s">
        <v>21</v>
      </c>
      <c r="J255" s="15" t="s">
        <v>922</v>
      </c>
      <c r="K255" s="11" t="s">
        <v>21</v>
      </c>
      <c r="L255" s="5" t="s">
        <v>23</v>
      </c>
      <c r="M255" s="305"/>
      <c r="N255" s="309"/>
      <c r="O255" s="309" t="s">
        <v>2545</v>
      </c>
      <c r="P255" s="275" t="s">
        <v>2585</v>
      </c>
    </row>
    <row r="256" spans="1:16" ht="165.6" hidden="1">
      <c r="A256" s="3" t="s">
        <v>866</v>
      </c>
      <c r="B256" s="3" t="s">
        <v>867</v>
      </c>
      <c r="C256" s="3" t="s">
        <v>919</v>
      </c>
      <c r="D256" s="7" t="s">
        <v>24</v>
      </c>
      <c r="E256" s="3">
        <v>2</v>
      </c>
      <c r="F256" s="4" t="s">
        <v>923</v>
      </c>
      <c r="G256" s="2" t="s">
        <v>924</v>
      </c>
      <c r="H256" s="11" t="s">
        <v>55</v>
      </c>
      <c r="I256" s="15" t="s">
        <v>925</v>
      </c>
      <c r="J256" s="15" t="s">
        <v>926</v>
      </c>
      <c r="K256" s="5" t="s">
        <v>31</v>
      </c>
      <c r="L256" s="5" t="s">
        <v>31</v>
      </c>
      <c r="M256" s="305">
        <v>1</v>
      </c>
      <c r="N256" s="309" t="s">
        <v>2637</v>
      </c>
      <c r="O256" s="309" t="s">
        <v>2545</v>
      </c>
      <c r="P256" s="275" t="s">
        <v>2585</v>
      </c>
    </row>
    <row r="257" spans="1:16" ht="27.6" hidden="1">
      <c r="A257" s="3" t="s">
        <v>866</v>
      </c>
      <c r="B257" s="3" t="s">
        <v>867</v>
      </c>
      <c r="C257" s="3" t="s">
        <v>919</v>
      </c>
      <c r="D257" s="7" t="s">
        <v>24</v>
      </c>
      <c r="E257" s="3">
        <v>2</v>
      </c>
      <c r="F257" s="4" t="s">
        <v>927</v>
      </c>
      <c r="G257" s="2" t="s">
        <v>928</v>
      </c>
      <c r="H257" s="11" t="s">
        <v>55</v>
      </c>
      <c r="I257" s="15" t="s">
        <v>929</v>
      </c>
      <c r="J257" s="15" t="s">
        <v>930</v>
      </c>
      <c r="K257" s="5" t="s">
        <v>31</v>
      </c>
      <c r="L257" s="5" t="s">
        <v>31</v>
      </c>
      <c r="M257" s="305"/>
      <c r="N257" s="309"/>
      <c r="O257" s="309"/>
      <c r="P257" s="275" t="s">
        <v>2585</v>
      </c>
    </row>
    <row r="258" spans="1:16" ht="82.8" hidden="1">
      <c r="A258" s="3" t="s">
        <v>866</v>
      </c>
      <c r="B258" s="3" t="s">
        <v>867</v>
      </c>
      <c r="C258" s="3" t="s">
        <v>919</v>
      </c>
      <c r="D258" s="7" t="s">
        <v>24</v>
      </c>
      <c r="E258" s="3">
        <v>2</v>
      </c>
      <c r="F258" s="4" t="s">
        <v>931</v>
      </c>
      <c r="G258" s="4" t="s">
        <v>932</v>
      </c>
      <c r="H258" s="11" t="s">
        <v>55</v>
      </c>
      <c r="I258" s="15" t="s">
        <v>933</v>
      </c>
      <c r="J258" s="15" t="s">
        <v>934</v>
      </c>
      <c r="K258" s="5" t="s">
        <v>31</v>
      </c>
      <c r="L258" s="5" t="s">
        <v>31</v>
      </c>
      <c r="M258" s="305"/>
      <c r="N258" s="309"/>
      <c r="O258" s="309"/>
      <c r="P258" s="275" t="s">
        <v>2585</v>
      </c>
    </row>
    <row r="259" spans="1:16" ht="55.2" hidden="1">
      <c r="A259" s="3" t="s">
        <v>866</v>
      </c>
      <c r="B259" s="3" t="s">
        <v>867</v>
      </c>
      <c r="C259" s="3" t="s">
        <v>919</v>
      </c>
      <c r="D259" s="7" t="s">
        <v>24</v>
      </c>
      <c r="E259" s="3">
        <v>2</v>
      </c>
      <c r="F259" s="4" t="s">
        <v>935</v>
      </c>
      <c r="G259" s="4" t="s">
        <v>936</v>
      </c>
      <c r="H259" s="11" t="s">
        <v>181</v>
      </c>
      <c r="I259" s="15" t="s">
        <v>937</v>
      </c>
      <c r="J259" s="15" t="s">
        <v>938</v>
      </c>
      <c r="K259" s="5" t="s">
        <v>31</v>
      </c>
      <c r="L259" s="5" t="s">
        <v>31</v>
      </c>
      <c r="M259" s="305"/>
      <c r="N259" s="309"/>
      <c r="O259" s="309"/>
      <c r="P259" s="275" t="s">
        <v>2585</v>
      </c>
    </row>
    <row r="260" spans="1:16" ht="41.4" hidden="1">
      <c r="A260" s="3" t="s">
        <v>866</v>
      </c>
      <c r="B260" s="3" t="s">
        <v>867</v>
      </c>
      <c r="C260" s="3" t="s">
        <v>919</v>
      </c>
      <c r="D260" s="7" t="s">
        <v>24</v>
      </c>
      <c r="E260" s="3">
        <v>2</v>
      </c>
      <c r="F260" s="4" t="s">
        <v>939</v>
      </c>
      <c r="G260" s="2" t="s">
        <v>940</v>
      </c>
      <c r="H260" s="11" t="s">
        <v>21</v>
      </c>
      <c r="I260" s="15" t="s">
        <v>21</v>
      </c>
      <c r="J260" s="15" t="s">
        <v>941</v>
      </c>
      <c r="K260" s="11" t="s">
        <v>21</v>
      </c>
      <c r="L260" s="5" t="s">
        <v>31</v>
      </c>
      <c r="M260" s="305"/>
      <c r="N260" s="309"/>
      <c r="O260" s="309"/>
      <c r="P260" s="275" t="s">
        <v>2585</v>
      </c>
    </row>
    <row r="261" spans="1:16" ht="96.6" hidden="1">
      <c r="A261" s="3" t="s">
        <v>866</v>
      </c>
      <c r="B261" s="3" t="s">
        <v>867</v>
      </c>
      <c r="C261" s="3" t="s">
        <v>919</v>
      </c>
      <c r="D261" s="8" t="s">
        <v>40</v>
      </c>
      <c r="E261" s="3">
        <v>3</v>
      </c>
      <c r="F261" s="4" t="s">
        <v>942</v>
      </c>
      <c r="G261" s="4" t="s">
        <v>943</v>
      </c>
      <c r="H261" s="11" t="s">
        <v>55</v>
      </c>
      <c r="I261" s="15" t="s">
        <v>925</v>
      </c>
      <c r="J261" s="15" t="s">
        <v>944</v>
      </c>
      <c r="K261" s="5" t="s">
        <v>31</v>
      </c>
      <c r="L261" s="5" t="s">
        <v>31</v>
      </c>
      <c r="M261" s="305">
        <v>1</v>
      </c>
      <c r="N261" s="309" t="s">
        <v>2638</v>
      </c>
      <c r="O261" s="309" t="s">
        <v>2545</v>
      </c>
      <c r="P261" s="275" t="s">
        <v>2585</v>
      </c>
    </row>
    <row r="262" spans="1:16" ht="69" hidden="1">
      <c r="A262" s="3" t="s">
        <v>866</v>
      </c>
      <c r="B262" s="3" t="s">
        <v>867</v>
      </c>
      <c r="C262" s="3" t="s">
        <v>919</v>
      </c>
      <c r="D262" s="8" t="s">
        <v>40</v>
      </c>
      <c r="E262" s="3">
        <v>3</v>
      </c>
      <c r="F262" s="4" t="s">
        <v>945</v>
      </c>
      <c r="G262" s="4" t="s">
        <v>946</v>
      </c>
      <c r="H262" s="11" t="s">
        <v>21</v>
      </c>
      <c r="I262" s="15" t="s">
        <v>21</v>
      </c>
      <c r="J262" s="15" t="s">
        <v>947</v>
      </c>
      <c r="K262" s="11" t="s">
        <v>21</v>
      </c>
      <c r="L262" s="5" t="s">
        <v>31</v>
      </c>
      <c r="M262" s="305"/>
      <c r="N262" s="309"/>
      <c r="O262" s="309"/>
      <c r="P262" s="275" t="s">
        <v>2585</v>
      </c>
    </row>
    <row r="263" spans="1:16" ht="110.4" hidden="1">
      <c r="A263" s="3" t="s">
        <v>866</v>
      </c>
      <c r="B263" s="3" t="s">
        <v>867</v>
      </c>
      <c r="C263" s="3" t="s">
        <v>919</v>
      </c>
      <c r="D263" s="8" t="s">
        <v>40</v>
      </c>
      <c r="E263" s="3">
        <v>3</v>
      </c>
      <c r="F263" s="4" t="s">
        <v>948</v>
      </c>
      <c r="G263" s="4" t="s">
        <v>949</v>
      </c>
      <c r="H263" s="11" t="s">
        <v>55</v>
      </c>
      <c r="I263" s="15" t="s">
        <v>950</v>
      </c>
      <c r="J263" s="15" t="s">
        <v>951</v>
      </c>
      <c r="K263" s="5" t="s">
        <v>31</v>
      </c>
      <c r="L263" s="5" t="s">
        <v>31</v>
      </c>
      <c r="M263" s="305"/>
      <c r="N263" s="309"/>
      <c r="O263" s="309"/>
      <c r="P263" s="275" t="s">
        <v>2585</v>
      </c>
    </row>
    <row r="264" spans="1:16" ht="358.8" hidden="1">
      <c r="A264" s="3" t="s">
        <v>866</v>
      </c>
      <c r="B264" s="3" t="s">
        <v>867</v>
      </c>
      <c r="C264" s="3" t="s">
        <v>919</v>
      </c>
      <c r="D264" s="12" t="s">
        <v>48</v>
      </c>
      <c r="E264" s="3">
        <v>4</v>
      </c>
      <c r="F264" s="4" t="s">
        <v>952</v>
      </c>
      <c r="G264" s="4" t="s">
        <v>953</v>
      </c>
      <c r="H264" s="11" t="s">
        <v>21</v>
      </c>
      <c r="I264" s="15" t="s">
        <v>21</v>
      </c>
      <c r="J264" s="15" t="s">
        <v>954</v>
      </c>
      <c r="K264" s="11" t="s">
        <v>21</v>
      </c>
      <c r="L264" s="5" t="s">
        <v>31</v>
      </c>
      <c r="M264" s="305"/>
      <c r="N264" s="309"/>
      <c r="O264" s="309"/>
      <c r="P264" s="275" t="s">
        <v>2585</v>
      </c>
    </row>
    <row r="265" spans="1:16" ht="138" hidden="1">
      <c r="A265" s="3" t="s">
        <v>866</v>
      </c>
      <c r="B265" s="3" t="s">
        <v>867</v>
      </c>
      <c r="C265" s="3" t="s">
        <v>919</v>
      </c>
      <c r="D265" s="10" t="s">
        <v>52</v>
      </c>
      <c r="E265" s="3">
        <v>5</v>
      </c>
      <c r="F265" s="4" t="s">
        <v>955</v>
      </c>
      <c r="G265" s="4" t="s">
        <v>956</v>
      </c>
      <c r="H265" s="11" t="s">
        <v>21</v>
      </c>
      <c r="I265" s="15" t="s">
        <v>21</v>
      </c>
      <c r="J265" s="15" t="s">
        <v>957</v>
      </c>
      <c r="K265" s="11" t="s">
        <v>21</v>
      </c>
      <c r="L265" s="5" t="s">
        <v>31</v>
      </c>
      <c r="M265" s="305"/>
      <c r="N265" s="309"/>
      <c r="O265" s="309"/>
      <c r="P265" s="275" t="s">
        <v>2585</v>
      </c>
    </row>
    <row r="266" spans="1:16" ht="69" hidden="1">
      <c r="A266" s="3" t="s">
        <v>866</v>
      </c>
      <c r="B266" s="3" t="s">
        <v>867</v>
      </c>
      <c r="C266" s="3" t="s">
        <v>919</v>
      </c>
      <c r="D266" s="10" t="s">
        <v>52</v>
      </c>
      <c r="E266" s="3">
        <v>5</v>
      </c>
      <c r="F266" s="4" t="s">
        <v>958</v>
      </c>
      <c r="G266" s="4" t="s">
        <v>959</v>
      </c>
      <c r="H266" s="11" t="s">
        <v>21</v>
      </c>
      <c r="I266" s="15" t="s">
        <v>21</v>
      </c>
      <c r="J266" s="15" t="s">
        <v>960</v>
      </c>
      <c r="K266" s="11" t="s">
        <v>21</v>
      </c>
      <c r="L266" s="5" t="s">
        <v>31</v>
      </c>
      <c r="M266" s="305"/>
      <c r="N266" s="309"/>
      <c r="O266" s="309"/>
      <c r="P266" s="275" t="s">
        <v>2585</v>
      </c>
    </row>
    <row r="267" spans="1:16" ht="41.4" hidden="1">
      <c r="A267" s="3" t="s">
        <v>866</v>
      </c>
      <c r="B267" s="3" t="s">
        <v>867</v>
      </c>
      <c r="C267" s="3" t="s">
        <v>961</v>
      </c>
      <c r="D267" s="6" t="s">
        <v>18</v>
      </c>
      <c r="E267" s="3">
        <v>1</v>
      </c>
      <c r="F267" s="4" t="s">
        <v>962</v>
      </c>
      <c r="G267" s="2" t="s">
        <v>963</v>
      </c>
      <c r="H267" s="11" t="s">
        <v>21</v>
      </c>
      <c r="I267" s="15" t="s">
        <v>21</v>
      </c>
      <c r="J267" s="15" t="s">
        <v>964</v>
      </c>
      <c r="K267" s="11" t="s">
        <v>21</v>
      </c>
      <c r="L267" s="5" t="s">
        <v>23</v>
      </c>
      <c r="M267" s="305"/>
      <c r="N267" s="309"/>
      <c r="O267" s="309" t="s">
        <v>2505</v>
      </c>
      <c r="P267" s="275" t="s">
        <v>2585</v>
      </c>
    </row>
    <row r="268" spans="1:16" ht="110.4" hidden="1">
      <c r="A268" s="3" t="s">
        <v>866</v>
      </c>
      <c r="B268" s="3" t="s">
        <v>867</v>
      </c>
      <c r="C268" s="3" t="s">
        <v>961</v>
      </c>
      <c r="D268" s="7" t="s">
        <v>24</v>
      </c>
      <c r="E268" s="3">
        <v>2</v>
      </c>
      <c r="F268" s="4" t="s">
        <v>965</v>
      </c>
      <c r="G268" s="4" t="s">
        <v>966</v>
      </c>
      <c r="H268" s="11" t="s">
        <v>55</v>
      </c>
      <c r="I268" s="15" t="s">
        <v>967</v>
      </c>
      <c r="J268" s="15" t="s">
        <v>968</v>
      </c>
      <c r="K268" s="5" t="s">
        <v>31</v>
      </c>
      <c r="L268" s="5" t="s">
        <v>31</v>
      </c>
      <c r="M268" s="305"/>
      <c r="N268" s="309"/>
      <c r="O268" s="309"/>
      <c r="P268" s="275" t="s">
        <v>2585</v>
      </c>
    </row>
    <row r="269" spans="1:16" ht="165.6" hidden="1">
      <c r="A269" s="3" t="s">
        <v>866</v>
      </c>
      <c r="B269" s="3" t="s">
        <v>867</v>
      </c>
      <c r="C269" s="3" t="s">
        <v>961</v>
      </c>
      <c r="D269" s="7" t="s">
        <v>24</v>
      </c>
      <c r="E269" s="3">
        <v>2</v>
      </c>
      <c r="F269" s="4" t="s">
        <v>969</v>
      </c>
      <c r="G269" s="4" t="s">
        <v>970</v>
      </c>
      <c r="H269" s="11" t="s">
        <v>21</v>
      </c>
      <c r="I269" s="15" t="s">
        <v>21</v>
      </c>
      <c r="J269" s="15" t="s">
        <v>971</v>
      </c>
      <c r="K269" s="11" t="s">
        <v>21</v>
      </c>
      <c r="L269" s="5" t="s">
        <v>31</v>
      </c>
      <c r="M269" s="305"/>
      <c r="N269" s="309" t="s">
        <v>2546</v>
      </c>
      <c r="O269" s="309"/>
      <c r="P269" s="275" t="s">
        <v>2585</v>
      </c>
    </row>
    <row r="270" spans="1:16" ht="248.4" hidden="1">
      <c r="A270" s="3" t="s">
        <v>866</v>
      </c>
      <c r="B270" s="3" t="s">
        <v>867</v>
      </c>
      <c r="C270" s="3" t="s">
        <v>961</v>
      </c>
      <c r="D270" s="7" t="s">
        <v>24</v>
      </c>
      <c r="E270" s="3">
        <v>2</v>
      </c>
      <c r="F270" s="4" t="s">
        <v>972</v>
      </c>
      <c r="G270" s="4" t="s">
        <v>973</v>
      </c>
      <c r="H270" s="11" t="s">
        <v>55</v>
      </c>
      <c r="I270" s="15" t="s">
        <v>974</v>
      </c>
      <c r="J270" s="15" t="s">
        <v>975</v>
      </c>
      <c r="K270" s="5" t="s">
        <v>31</v>
      </c>
      <c r="L270" s="5" t="s">
        <v>31</v>
      </c>
      <c r="M270" s="305"/>
      <c r="N270" s="309"/>
      <c r="O270" s="309"/>
      <c r="P270" s="275" t="s">
        <v>2585</v>
      </c>
    </row>
    <row r="271" spans="1:16" ht="41.4" hidden="1">
      <c r="A271" s="3" t="s">
        <v>866</v>
      </c>
      <c r="B271" s="3" t="s">
        <v>867</v>
      </c>
      <c r="C271" s="3" t="s">
        <v>961</v>
      </c>
      <c r="D271" s="7" t="s">
        <v>24</v>
      </c>
      <c r="E271" s="3">
        <v>2</v>
      </c>
      <c r="F271" s="4" t="s">
        <v>976</v>
      </c>
      <c r="G271" s="2" t="s">
        <v>977</v>
      </c>
      <c r="H271" s="11" t="s">
        <v>21</v>
      </c>
      <c r="I271" s="15" t="s">
        <v>21</v>
      </c>
      <c r="J271" s="15" t="s">
        <v>978</v>
      </c>
      <c r="K271" s="11" t="s">
        <v>21</v>
      </c>
      <c r="L271" s="5" t="s">
        <v>31</v>
      </c>
      <c r="M271" s="305"/>
      <c r="N271" s="309"/>
      <c r="O271" s="309"/>
      <c r="P271" s="275" t="s">
        <v>2585</v>
      </c>
    </row>
    <row r="272" spans="1:16" ht="110.4" hidden="1">
      <c r="A272" s="3" t="s">
        <v>866</v>
      </c>
      <c r="B272" s="3" t="s">
        <v>867</v>
      </c>
      <c r="C272" s="3" t="s">
        <v>961</v>
      </c>
      <c r="D272" s="8" t="s">
        <v>40</v>
      </c>
      <c r="E272" s="3">
        <v>3</v>
      </c>
      <c r="F272" s="4" t="s">
        <v>979</v>
      </c>
      <c r="G272" s="4" t="s">
        <v>980</v>
      </c>
      <c r="H272" s="11" t="s">
        <v>21</v>
      </c>
      <c r="I272" s="15" t="s">
        <v>21</v>
      </c>
      <c r="J272" s="15" t="s">
        <v>981</v>
      </c>
      <c r="K272" s="11" t="s">
        <v>21</v>
      </c>
      <c r="L272" s="5" t="s">
        <v>31</v>
      </c>
      <c r="M272" s="305"/>
      <c r="N272" s="309"/>
      <c r="O272" s="309"/>
      <c r="P272" s="275" t="s">
        <v>2585</v>
      </c>
    </row>
    <row r="273" spans="1:16" ht="69" hidden="1">
      <c r="A273" s="3" t="s">
        <v>866</v>
      </c>
      <c r="B273" s="3" t="s">
        <v>867</v>
      </c>
      <c r="C273" s="3" t="s">
        <v>961</v>
      </c>
      <c r="D273" s="8" t="s">
        <v>40</v>
      </c>
      <c r="E273" s="3">
        <v>3</v>
      </c>
      <c r="F273" s="4" t="s">
        <v>982</v>
      </c>
      <c r="G273" s="4" t="s">
        <v>983</v>
      </c>
      <c r="H273" s="11" t="s">
        <v>21</v>
      </c>
      <c r="I273" s="15" t="s">
        <v>21</v>
      </c>
      <c r="J273" s="15" t="s">
        <v>984</v>
      </c>
      <c r="K273" s="11" t="s">
        <v>21</v>
      </c>
      <c r="L273" s="5" t="s">
        <v>31</v>
      </c>
      <c r="M273" s="305"/>
      <c r="N273" s="309"/>
      <c r="O273" s="309"/>
      <c r="P273" s="275" t="s">
        <v>2585</v>
      </c>
    </row>
    <row r="274" spans="1:16" ht="69" hidden="1">
      <c r="A274" s="3" t="s">
        <v>866</v>
      </c>
      <c r="B274" s="3" t="s">
        <v>867</v>
      </c>
      <c r="C274" s="3" t="s">
        <v>961</v>
      </c>
      <c r="D274" s="8" t="s">
        <v>40</v>
      </c>
      <c r="E274" s="3">
        <v>3</v>
      </c>
      <c r="F274" s="4" t="s">
        <v>985</v>
      </c>
      <c r="G274" s="4" t="s">
        <v>986</v>
      </c>
      <c r="H274" s="11" t="s">
        <v>21</v>
      </c>
      <c r="I274" s="15" t="s">
        <v>21</v>
      </c>
      <c r="J274" s="15" t="s">
        <v>987</v>
      </c>
      <c r="K274" s="11" t="s">
        <v>21</v>
      </c>
      <c r="L274" s="5" t="s">
        <v>31</v>
      </c>
      <c r="M274" s="305"/>
      <c r="N274" s="309"/>
      <c r="O274" s="309"/>
      <c r="P274" s="275" t="s">
        <v>2585</v>
      </c>
    </row>
    <row r="275" spans="1:16" ht="193.2" hidden="1">
      <c r="A275" s="3" t="s">
        <v>866</v>
      </c>
      <c r="B275" s="3" t="s">
        <v>867</v>
      </c>
      <c r="C275" s="3" t="s">
        <v>961</v>
      </c>
      <c r="D275" s="8" t="s">
        <v>40</v>
      </c>
      <c r="E275" s="3">
        <v>3</v>
      </c>
      <c r="F275" s="4" t="s">
        <v>988</v>
      </c>
      <c r="G275" s="2" t="s">
        <v>989</v>
      </c>
      <c r="H275" s="11" t="s">
        <v>21</v>
      </c>
      <c r="I275" s="15" t="s">
        <v>21</v>
      </c>
      <c r="J275" s="15" t="s">
        <v>990</v>
      </c>
      <c r="K275" s="11" t="s">
        <v>21</v>
      </c>
      <c r="L275" s="5" t="s">
        <v>31</v>
      </c>
      <c r="M275" s="305"/>
      <c r="N275" s="309"/>
      <c r="O275" s="309"/>
      <c r="P275" s="275" t="s">
        <v>2585</v>
      </c>
    </row>
    <row r="276" spans="1:16" ht="110.4" hidden="1">
      <c r="A276" s="3" t="s">
        <v>866</v>
      </c>
      <c r="B276" s="3" t="s">
        <v>867</v>
      </c>
      <c r="C276" s="3" t="s">
        <v>961</v>
      </c>
      <c r="D276" s="8" t="s">
        <v>40</v>
      </c>
      <c r="E276" s="3">
        <v>3</v>
      </c>
      <c r="F276" s="4" t="s">
        <v>991</v>
      </c>
      <c r="G276" s="4" t="s">
        <v>992</v>
      </c>
      <c r="H276" s="11" t="s">
        <v>55</v>
      </c>
      <c r="I276" s="15" t="s">
        <v>993</v>
      </c>
      <c r="J276" s="15" t="s">
        <v>994</v>
      </c>
      <c r="K276" s="5" t="s">
        <v>31</v>
      </c>
      <c r="L276" s="5" t="s">
        <v>31</v>
      </c>
      <c r="M276" s="305"/>
      <c r="N276" s="309"/>
      <c r="O276" s="309"/>
      <c r="P276" s="275" t="s">
        <v>2585</v>
      </c>
    </row>
    <row r="277" spans="1:16" ht="358.8" hidden="1">
      <c r="A277" s="3" t="s">
        <v>866</v>
      </c>
      <c r="B277" s="3" t="s">
        <v>867</v>
      </c>
      <c r="C277" s="3" t="s">
        <v>961</v>
      </c>
      <c r="D277" s="12" t="s">
        <v>48</v>
      </c>
      <c r="E277" s="3">
        <v>4</v>
      </c>
      <c r="F277" s="34" t="s">
        <v>995</v>
      </c>
      <c r="G277" s="34" t="s">
        <v>996</v>
      </c>
      <c r="H277" s="11" t="s">
        <v>21</v>
      </c>
      <c r="I277" s="15" t="s">
        <v>21</v>
      </c>
      <c r="J277" s="15" t="s">
        <v>997</v>
      </c>
      <c r="K277" s="11" t="s">
        <v>21</v>
      </c>
      <c r="L277" s="5" t="s">
        <v>31</v>
      </c>
      <c r="M277" s="305"/>
      <c r="N277" s="309"/>
      <c r="O277" s="309"/>
      <c r="P277" s="275" t="s">
        <v>2585</v>
      </c>
    </row>
    <row r="278" spans="1:16" ht="179.4" hidden="1">
      <c r="A278" s="3" t="s">
        <v>866</v>
      </c>
      <c r="B278" s="3" t="s">
        <v>867</v>
      </c>
      <c r="C278" s="3" t="s">
        <v>961</v>
      </c>
      <c r="D278" s="10" t="s">
        <v>52</v>
      </c>
      <c r="E278" s="3">
        <v>5</v>
      </c>
      <c r="F278" s="4" t="s">
        <v>998</v>
      </c>
      <c r="G278" s="4" t="s">
        <v>999</v>
      </c>
      <c r="H278" s="11" t="s">
        <v>21</v>
      </c>
      <c r="I278" s="15" t="s">
        <v>21</v>
      </c>
      <c r="J278" s="15" t="s">
        <v>1000</v>
      </c>
      <c r="K278" s="11" t="s">
        <v>21</v>
      </c>
      <c r="L278" s="5" t="s">
        <v>31</v>
      </c>
      <c r="M278" s="305"/>
      <c r="N278" s="309"/>
      <c r="O278" s="309"/>
      <c r="P278" s="275" t="s">
        <v>2585</v>
      </c>
    </row>
    <row r="279" spans="1:16" ht="27.6" hidden="1">
      <c r="A279" s="3" t="s">
        <v>1001</v>
      </c>
      <c r="B279" s="3" t="s">
        <v>1002</v>
      </c>
      <c r="C279" s="3" t="s">
        <v>1003</v>
      </c>
      <c r="D279" s="6" t="s">
        <v>18</v>
      </c>
      <c r="E279" s="3">
        <v>1</v>
      </c>
      <c r="F279" s="4" t="s">
        <v>1004</v>
      </c>
      <c r="G279" s="14" t="s">
        <v>1005</v>
      </c>
      <c r="H279" s="11" t="s">
        <v>21</v>
      </c>
      <c r="I279" s="15" t="s">
        <v>21</v>
      </c>
      <c r="J279" s="15" t="s">
        <v>1006</v>
      </c>
      <c r="K279" s="11" t="s">
        <v>21</v>
      </c>
      <c r="L279" s="5" t="s">
        <v>31</v>
      </c>
      <c r="M279" s="305"/>
      <c r="N279" s="309"/>
      <c r="O279" s="309"/>
      <c r="P279" s="275" t="s">
        <v>2596</v>
      </c>
    </row>
    <row r="280" spans="1:16" ht="175.95" hidden="1" customHeight="1">
      <c r="A280" s="3" t="s">
        <v>1001</v>
      </c>
      <c r="B280" s="3" t="s">
        <v>1002</v>
      </c>
      <c r="C280" s="3" t="s">
        <v>1003</v>
      </c>
      <c r="D280" s="7" t="s">
        <v>24</v>
      </c>
      <c r="E280" s="3">
        <v>2</v>
      </c>
      <c r="F280" s="4" t="s">
        <v>1007</v>
      </c>
      <c r="G280" s="4" t="s">
        <v>1008</v>
      </c>
      <c r="H280" s="11" t="s">
        <v>27</v>
      </c>
      <c r="I280" s="15" t="s">
        <v>1009</v>
      </c>
      <c r="J280" s="15" t="s">
        <v>1010</v>
      </c>
      <c r="K280" s="5" t="s">
        <v>23</v>
      </c>
      <c r="L280" s="5" t="s">
        <v>23</v>
      </c>
      <c r="M280" s="305"/>
      <c r="N280" s="310"/>
      <c r="O280" s="310" t="s">
        <v>2502</v>
      </c>
      <c r="P280" s="275" t="s">
        <v>2596</v>
      </c>
    </row>
    <row r="281" spans="1:16" ht="125.55" hidden="1" customHeight="1">
      <c r="A281" s="3" t="s">
        <v>1001</v>
      </c>
      <c r="B281" s="3" t="s">
        <v>1002</v>
      </c>
      <c r="C281" s="3" t="s">
        <v>1003</v>
      </c>
      <c r="D281" s="7" t="s">
        <v>24</v>
      </c>
      <c r="E281" s="3">
        <v>2</v>
      </c>
      <c r="F281" s="4" t="s">
        <v>1011</v>
      </c>
      <c r="G281" s="4" t="s">
        <v>1012</v>
      </c>
      <c r="H281" s="11" t="s">
        <v>27</v>
      </c>
      <c r="I281" s="15" t="s">
        <v>1013</v>
      </c>
      <c r="J281" s="15" t="s">
        <v>1014</v>
      </c>
      <c r="K281" s="5" t="s">
        <v>31</v>
      </c>
      <c r="L281" s="5" t="s">
        <v>31</v>
      </c>
      <c r="M281" s="305"/>
      <c r="N281" s="309"/>
      <c r="O281" s="309"/>
      <c r="P281" s="275" t="s">
        <v>2596</v>
      </c>
    </row>
    <row r="282" spans="1:16" ht="177.45" hidden="1" customHeight="1">
      <c r="A282" s="3" t="s">
        <v>1001</v>
      </c>
      <c r="B282" s="3" t="s">
        <v>1002</v>
      </c>
      <c r="C282" s="3" t="s">
        <v>1003</v>
      </c>
      <c r="D282" s="8" t="s">
        <v>40</v>
      </c>
      <c r="E282" s="3">
        <v>3</v>
      </c>
      <c r="F282" s="4" t="s">
        <v>1015</v>
      </c>
      <c r="G282" s="2" t="s">
        <v>1016</v>
      </c>
      <c r="H282" s="11" t="s">
        <v>21</v>
      </c>
      <c r="I282" s="15" t="s">
        <v>21</v>
      </c>
      <c r="J282" s="15" t="s">
        <v>1017</v>
      </c>
      <c r="K282" s="11" t="s">
        <v>21</v>
      </c>
      <c r="L282" s="5" t="s">
        <v>31</v>
      </c>
      <c r="M282" s="305"/>
      <c r="N282" s="309"/>
      <c r="O282" s="309"/>
      <c r="P282" s="275" t="s">
        <v>2596</v>
      </c>
    </row>
    <row r="283" spans="1:16" ht="127.5" hidden="1" customHeight="1">
      <c r="A283" s="3" t="s">
        <v>1001</v>
      </c>
      <c r="B283" s="3" t="s">
        <v>1002</v>
      </c>
      <c r="C283" s="3" t="s">
        <v>1003</v>
      </c>
      <c r="D283" s="8" t="s">
        <v>40</v>
      </c>
      <c r="E283" s="3">
        <v>3</v>
      </c>
      <c r="F283" s="4" t="s">
        <v>1018</v>
      </c>
      <c r="G283" s="2" t="s">
        <v>1019</v>
      </c>
      <c r="H283" s="11" t="s">
        <v>21</v>
      </c>
      <c r="I283" s="15" t="s">
        <v>21</v>
      </c>
      <c r="J283" s="15" t="s">
        <v>1020</v>
      </c>
      <c r="K283" s="11" t="s">
        <v>21</v>
      </c>
      <c r="L283" s="5" t="s">
        <v>31</v>
      </c>
      <c r="M283" s="305"/>
      <c r="N283" s="309"/>
      <c r="O283" s="309"/>
      <c r="P283" s="275" t="s">
        <v>2596</v>
      </c>
    </row>
    <row r="284" spans="1:16" ht="409.6" hidden="1">
      <c r="A284" s="3" t="s">
        <v>1001</v>
      </c>
      <c r="B284" s="3" t="s">
        <v>1002</v>
      </c>
      <c r="C284" s="3" t="s">
        <v>1003</v>
      </c>
      <c r="D284" s="12" t="s">
        <v>48</v>
      </c>
      <c r="E284" s="3">
        <v>4</v>
      </c>
      <c r="F284" s="4" t="s">
        <v>1021</v>
      </c>
      <c r="G284" s="4" t="s">
        <v>1022</v>
      </c>
      <c r="H284" s="11" t="s">
        <v>21</v>
      </c>
      <c r="I284" s="15" t="s">
        <v>21</v>
      </c>
      <c r="J284" s="15" t="s">
        <v>1023</v>
      </c>
      <c r="K284" s="11" t="s">
        <v>21</v>
      </c>
      <c r="L284" s="5" t="s">
        <v>31</v>
      </c>
      <c r="M284" s="305"/>
      <c r="N284" s="309"/>
      <c r="O284" s="309"/>
      <c r="P284" s="275" t="s">
        <v>2596</v>
      </c>
    </row>
    <row r="285" spans="1:16" ht="165.6" hidden="1">
      <c r="A285" s="3" t="s">
        <v>1001</v>
      </c>
      <c r="B285" s="3" t="s">
        <v>1002</v>
      </c>
      <c r="C285" s="3" t="s">
        <v>1003</v>
      </c>
      <c r="D285" s="10" t="s">
        <v>52</v>
      </c>
      <c r="E285" s="3">
        <v>5</v>
      </c>
      <c r="F285" s="4" t="s">
        <v>1024</v>
      </c>
      <c r="G285" s="4" t="s">
        <v>1025</v>
      </c>
      <c r="H285" s="11" t="s">
        <v>21</v>
      </c>
      <c r="I285" s="15" t="s">
        <v>21</v>
      </c>
      <c r="J285" s="15" t="s">
        <v>1026</v>
      </c>
      <c r="K285" s="11" t="s">
        <v>21</v>
      </c>
      <c r="L285" s="5" t="s">
        <v>31</v>
      </c>
      <c r="M285" s="305"/>
      <c r="N285" s="309"/>
      <c r="O285" s="309"/>
      <c r="P285" s="275" t="s">
        <v>2596</v>
      </c>
    </row>
    <row r="286" spans="1:16" ht="27.6" hidden="1">
      <c r="A286" s="3" t="s">
        <v>1001</v>
      </c>
      <c r="B286" s="3" t="s">
        <v>1002</v>
      </c>
      <c r="C286" s="3" t="s">
        <v>1027</v>
      </c>
      <c r="D286" s="6" t="s">
        <v>18</v>
      </c>
      <c r="E286" s="3">
        <v>1</v>
      </c>
      <c r="F286" s="2" t="s">
        <v>1028</v>
      </c>
      <c r="G286" s="2" t="s">
        <v>1029</v>
      </c>
      <c r="H286" s="11" t="s">
        <v>21</v>
      </c>
      <c r="I286" s="15" t="s">
        <v>21</v>
      </c>
      <c r="J286" s="15" t="s">
        <v>1030</v>
      </c>
      <c r="K286" s="11" t="s">
        <v>21</v>
      </c>
      <c r="L286" s="5" t="s">
        <v>31</v>
      </c>
      <c r="M286" s="305"/>
      <c r="N286" s="309"/>
      <c r="O286" s="309"/>
      <c r="P286" s="275" t="s">
        <v>2596</v>
      </c>
    </row>
    <row r="287" spans="1:16" ht="41.4" hidden="1">
      <c r="A287" s="3" t="s">
        <v>1001</v>
      </c>
      <c r="B287" s="3" t="s">
        <v>1002</v>
      </c>
      <c r="C287" s="3" t="s">
        <v>1027</v>
      </c>
      <c r="D287" s="7" t="s">
        <v>24</v>
      </c>
      <c r="E287" s="3">
        <v>2</v>
      </c>
      <c r="F287" s="2" t="s">
        <v>1031</v>
      </c>
      <c r="G287" s="2" t="s">
        <v>1032</v>
      </c>
      <c r="H287" s="11" t="s">
        <v>21</v>
      </c>
      <c r="I287" s="15" t="s">
        <v>21</v>
      </c>
      <c r="J287" s="15" t="s">
        <v>1033</v>
      </c>
      <c r="K287" s="11" t="s">
        <v>21</v>
      </c>
      <c r="L287" s="5" t="s">
        <v>31</v>
      </c>
      <c r="M287" s="305"/>
      <c r="N287" s="309"/>
      <c r="O287" s="309"/>
      <c r="P287" s="275" t="s">
        <v>2596</v>
      </c>
    </row>
    <row r="288" spans="1:16" ht="41.4" hidden="1">
      <c r="A288" s="3" t="s">
        <v>1001</v>
      </c>
      <c r="B288" s="3" t="s">
        <v>1002</v>
      </c>
      <c r="C288" s="3" t="s">
        <v>1027</v>
      </c>
      <c r="D288" s="7" t="s">
        <v>24</v>
      </c>
      <c r="E288" s="3">
        <v>2</v>
      </c>
      <c r="F288" s="1" t="s">
        <v>1034</v>
      </c>
      <c r="G288" s="4" t="s">
        <v>1035</v>
      </c>
      <c r="H288" s="11" t="s">
        <v>27</v>
      </c>
      <c r="I288" s="15" t="s">
        <v>1036</v>
      </c>
      <c r="J288" s="15" t="s">
        <v>1037</v>
      </c>
      <c r="K288" s="5" t="s">
        <v>31</v>
      </c>
      <c r="L288" s="5" t="s">
        <v>31</v>
      </c>
      <c r="M288" s="305"/>
      <c r="N288" s="309"/>
      <c r="O288" s="309"/>
      <c r="P288" s="275" t="s">
        <v>2596</v>
      </c>
    </row>
    <row r="289" spans="1:16" ht="124.2" hidden="1">
      <c r="A289" s="3" t="s">
        <v>1001</v>
      </c>
      <c r="B289" s="3" t="s">
        <v>1002</v>
      </c>
      <c r="C289" s="3" t="s">
        <v>1027</v>
      </c>
      <c r="D289" s="7" t="s">
        <v>24</v>
      </c>
      <c r="E289" s="3">
        <v>2</v>
      </c>
      <c r="F289" s="13" t="s">
        <v>1038</v>
      </c>
      <c r="G289" s="4" t="s">
        <v>1039</v>
      </c>
      <c r="H289" s="11" t="s">
        <v>27</v>
      </c>
      <c r="I289" s="15" t="s">
        <v>1040</v>
      </c>
      <c r="J289" s="15" t="s">
        <v>1041</v>
      </c>
      <c r="K289" s="5" t="s">
        <v>31</v>
      </c>
      <c r="L289" s="5" t="s">
        <v>31</v>
      </c>
      <c r="M289" s="305"/>
      <c r="N289" s="309"/>
      <c r="O289" s="309"/>
      <c r="P289" s="275" t="s">
        <v>2596</v>
      </c>
    </row>
    <row r="290" spans="1:16" ht="55.2" hidden="1">
      <c r="A290" s="3" t="s">
        <v>1001</v>
      </c>
      <c r="B290" s="3" t="s">
        <v>1002</v>
      </c>
      <c r="C290" s="3" t="s">
        <v>1027</v>
      </c>
      <c r="D290" s="7" t="s">
        <v>24</v>
      </c>
      <c r="E290" s="3">
        <v>2</v>
      </c>
      <c r="F290" s="14" t="s">
        <v>1042</v>
      </c>
      <c r="G290" s="4" t="s">
        <v>1043</v>
      </c>
      <c r="H290" s="11" t="s">
        <v>21</v>
      </c>
      <c r="I290" s="15" t="s">
        <v>21</v>
      </c>
      <c r="J290" s="15" t="s">
        <v>1044</v>
      </c>
      <c r="K290" s="11" t="s">
        <v>21</v>
      </c>
      <c r="L290" s="5" t="s">
        <v>31</v>
      </c>
      <c r="M290" s="305"/>
      <c r="N290" s="309"/>
      <c r="O290" s="309"/>
      <c r="P290" s="275" t="s">
        <v>2596</v>
      </c>
    </row>
    <row r="291" spans="1:16" ht="317.39999999999998" hidden="1">
      <c r="A291" s="3" t="s">
        <v>1001</v>
      </c>
      <c r="B291" s="3" t="s">
        <v>1002</v>
      </c>
      <c r="C291" s="3" t="s">
        <v>1027</v>
      </c>
      <c r="D291" s="7" t="s">
        <v>24</v>
      </c>
      <c r="E291" s="3">
        <v>2</v>
      </c>
      <c r="F291" s="4" t="s">
        <v>1045</v>
      </c>
      <c r="G291" s="4" t="s">
        <v>1046</v>
      </c>
      <c r="H291" s="11" t="s">
        <v>21</v>
      </c>
      <c r="I291" s="15" t="s">
        <v>21</v>
      </c>
      <c r="J291" s="15" t="s">
        <v>1047</v>
      </c>
      <c r="K291" s="11" t="s">
        <v>21</v>
      </c>
      <c r="L291" s="5" t="s">
        <v>31</v>
      </c>
      <c r="M291" s="305"/>
      <c r="N291" s="309"/>
      <c r="O291" s="309"/>
      <c r="P291" s="275" t="s">
        <v>2596</v>
      </c>
    </row>
    <row r="292" spans="1:16" ht="27.6" hidden="1">
      <c r="A292" s="3" t="s">
        <v>1001</v>
      </c>
      <c r="B292" s="3" t="s">
        <v>1002</v>
      </c>
      <c r="C292" s="3" t="s">
        <v>1027</v>
      </c>
      <c r="D292" s="8" t="s">
        <v>40</v>
      </c>
      <c r="E292" s="3">
        <v>3</v>
      </c>
      <c r="F292" s="4" t="s">
        <v>1048</v>
      </c>
      <c r="G292" s="2" t="s">
        <v>1049</v>
      </c>
      <c r="H292" s="11" t="s">
        <v>55</v>
      </c>
      <c r="I292" s="15" t="s">
        <v>1050</v>
      </c>
      <c r="J292" s="15" t="s">
        <v>1051</v>
      </c>
      <c r="K292" s="5" t="s">
        <v>31</v>
      </c>
      <c r="L292" s="5" t="s">
        <v>31</v>
      </c>
      <c r="M292" s="305"/>
      <c r="N292" s="309"/>
      <c r="O292" s="309"/>
      <c r="P292" s="275" t="s">
        <v>2596</v>
      </c>
    </row>
    <row r="293" spans="1:16" ht="55.2" hidden="1">
      <c r="A293" s="3" t="s">
        <v>1001</v>
      </c>
      <c r="B293" s="3" t="s">
        <v>1002</v>
      </c>
      <c r="C293" s="3" t="s">
        <v>1027</v>
      </c>
      <c r="D293" s="8" t="s">
        <v>40</v>
      </c>
      <c r="E293" s="3">
        <v>3</v>
      </c>
      <c r="F293" s="4" t="s">
        <v>1052</v>
      </c>
      <c r="G293" s="2" t="s">
        <v>1053</v>
      </c>
      <c r="H293" s="11" t="s">
        <v>55</v>
      </c>
      <c r="I293" s="15" t="s">
        <v>1054</v>
      </c>
      <c r="J293" s="15" t="s">
        <v>1055</v>
      </c>
      <c r="K293" s="5" t="s">
        <v>31</v>
      </c>
      <c r="L293" s="5" t="s">
        <v>31</v>
      </c>
      <c r="M293" s="305"/>
      <c r="N293" s="310"/>
      <c r="O293" s="310"/>
      <c r="P293" s="275" t="s">
        <v>2596</v>
      </c>
    </row>
    <row r="294" spans="1:16" ht="82.8" hidden="1">
      <c r="A294" s="3" t="s">
        <v>1001</v>
      </c>
      <c r="B294" s="3" t="s">
        <v>1002</v>
      </c>
      <c r="C294" s="3" t="s">
        <v>1027</v>
      </c>
      <c r="D294" s="8" t="s">
        <v>40</v>
      </c>
      <c r="E294" s="3">
        <v>3</v>
      </c>
      <c r="F294" s="4" t="s">
        <v>1056</v>
      </c>
      <c r="G294" s="4" t="s">
        <v>1057</v>
      </c>
      <c r="H294" s="11" t="s">
        <v>55</v>
      </c>
      <c r="I294" s="15" t="s">
        <v>1058</v>
      </c>
      <c r="J294" s="15" t="s">
        <v>1059</v>
      </c>
      <c r="K294" s="5" t="s">
        <v>31</v>
      </c>
      <c r="L294" s="5" t="s">
        <v>31</v>
      </c>
      <c r="M294" s="305"/>
      <c r="N294" s="310"/>
      <c r="O294" s="310"/>
      <c r="P294" s="275" t="s">
        <v>2596</v>
      </c>
    </row>
    <row r="295" spans="1:16" ht="151.80000000000001" hidden="1">
      <c r="A295" s="3" t="s">
        <v>1001</v>
      </c>
      <c r="B295" s="3" t="s">
        <v>1002</v>
      </c>
      <c r="C295" s="3" t="s">
        <v>1027</v>
      </c>
      <c r="D295" s="8" t="s">
        <v>40</v>
      </c>
      <c r="E295" s="3">
        <v>3</v>
      </c>
      <c r="F295" s="4" t="s">
        <v>1060</v>
      </c>
      <c r="G295" s="4" t="s">
        <v>1061</v>
      </c>
      <c r="H295" s="11" t="s">
        <v>181</v>
      </c>
      <c r="I295" s="15" t="s">
        <v>1062</v>
      </c>
      <c r="J295" s="15" t="s">
        <v>1063</v>
      </c>
      <c r="K295" s="5" t="s">
        <v>31</v>
      </c>
      <c r="L295" s="5" t="s">
        <v>31</v>
      </c>
      <c r="M295" s="305"/>
      <c r="N295" s="309"/>
      <c r="O295" s="309"/>
      <c r="P295" s="275" t="s">
        <v>2596</v>
      </c>
    </row>
    <row r="296" spans="1:16" ht="82.8" hidden="1">
      <c r="A296" s="3" t="s">
        <v>1001</v>
      </c>
      <c r="B296" s="3" t="s">
        <v>1002</v>
      </c>
      <c r="C296" s="3" t="s">
        <v>1027</v>
      </c>
      <c r="D296" s="8" t="s">
        <v>40</v>
      </c>
      <c r="E296" s="3">
        <v>3</v>
      </c>
      <c r="F296" s="4" t="s">
        <v>1064</v>
      </c>
      <c r="G296" s="4" t="s">
        <v>1065</v>
      </c>
      <c r="H296" s="11" t="s">
        <v>55</v>
      </c>
      <c r="I296" s="15" t="s">
        <v>1066</v>
      </c>
      <c r="J296" s="15" t="s">
        <v>1067</v>
      </c>
      <c r="K296" s="5" t="s">
        <v>31</v>
      </c>
      <c r="L296" s="5" t="s">
        <v>31</v>
      </c>
      <c r="M296" s="305"/>
      <c r="N296" s="309"/>
      <c r="O296" s="309"/>
      <c r="P296" s="275" t="s">
        <v>2596</v>
      </c>
    </row>
    <row r="297" spans="1:16" ht="165.6" hidden="1">
      <c r="A297" s="3" t="s">
        <v>1001</v>
      </c>
      <c r="B297" s="3" t="s">
        <v>1002</v>
      </c>
      <c r="C297" s="3" t="s">
        <v>1027</v>
      </c>
      <c r="D297" s="8" t="s">
        <v>40</v>
      </c>
      <c r="E297" s="3">
        <v>3</v>
      </c>
      <c r="F297" s="4" t="s">
        <v>1068</v>
      </c>
      <c r="G297" s="4" t="s">
        <v>1069</v>
      </c>
      <c r="H297" s="11" t="s">
        <v>55</v>
      </c>
      <c r="I297" s="15" t="s">
        <v>1070</v>
      </c>
      <c r="J297" s="15" t="s">
        <v>1071</v>
      </c>
      <c r="K297" s="5" t="s">
        <v>31</v>
      </c>
      <c r="L297" s="5" t="s">
        <v>31</v>
      </c>
      <c r="M297" s="305"/>
      <c r="N297" s="309"/>
      <c r="O297" s="309"/>
      <c r="P297" s="275" t="s">
        <v>2596</v>
      </c>
    </row>
    <row r="298" spans="1:16" ht="124.2" hidden="1">
      <c r="A298" s="3" t="s">
        <v>1001</v>
      </c>
      <c r="B298" s="3" t="s">
        <v>1002</v>
      </c>
      <c r="C298" s="3" t="s">
        <v>1027</v>
      </c>
      <c r="D298" s="8" t="s">
        <v>40</v>
      </c>
      <c r="E298" s="3">
        <v>3</v>
      </c>
      <c r="F298" s="4" t="s">
        <v>1072</v>
      </c>
      <c r="G298" s="4" t="s">
        <v>1073</v>
      </c>
      <c r="H298" s="11" t="s">
        <v>55</v>
      </c>
      <c r="I298" s="15" t="s">
        <v>1074</v>
      </c>
      <c r="J298" s="15" t="s">
        <v>1075</v>
      </c>
      <c r="K298" s="5" t="s">
        <v>31</v>
      </c>
      <c r="L298" s="5" t="s">
        <v>31</v>
      </c>
      <c r="M298" s="305"/>
      <c r="N298" s="309"/>
      <c r="O298" s="309"/>
      <c r="P298" s="275" t="s">
        <v>2596</v>
      </c>
    </row>
    <row r="299" spans="1:16" ht="409.6" hidden="1">
      <c r="A299" s="3" t="s">
        <v>1001</v>
      </c>
      <c r="B299" s="3" t="s">
        <v>1002</v>
      </c>
      <c r="C299" s="3" t="s">
        <v>1027</v>
      </c>
      <c r="D299" s="12" t="s">
        <v>48</v>
      </c>
      <c r="E299" s="3">
        <v>4</v>
      </c>
      <c r="F299" s="4" t="s">
        <v>1076</v>
      </c>
      <c r="G299" s="4" t="s">
        <v>1077</v>
      </c>
      <c r="H299" s="11" t="s">
        <v>55</v>
      </c>
      <c r="I299" s="15" t="s">
        <v>1078</v>
      </c>
      <c r="J299" s="15" t="s">
        <v>1079</v>
      </c>
      <c r="K299" s="5" t="s">
        <v>31</v>
      </c>
      <c r="L299" s="5" t="s">
        <v>31</v>
      </c>
      <c r="M299" s="305"/>
      <c r="N299" s="309"/>
      <c r="O299" s="309"/>
      <c r="P299" s="275" t="s">
        <v>2596</v>
      </c>
    </row>
    <row r="300" spans="1:16" ht="372.6" hidden="1">
      <c r="A300" s="3" t="s">
        <v>1001</v>
      </c>
      <c r="B300" s="3" t="s">
        <v>1002</v>
      </c>
      <c r="C300" s="3" t="s">
        <v>1027</v>
      </c>
      <c r="D300" s="12" t="s">
        <v>48</v>
      </c>
      <c r="E300" s="3">
        <v>4</v>
      </c>
      <c r="F300" s="4" t="s">
        <v>1080</v>
      </c>
      <c r="G300" s="34" t="s">
        <v>1081</v>
      </c>
      <c r="H300" s="11" t="s">
        <v>21</v>
      </c>
      <c r="I300" s="15" t="s">
        <v>21</v>
      </c>
      <c r="J300" s="15" t="s">
        <v>1082</v>
      </c>
      <c r="K300" s="11" t="s">
        <v>21</v>
      </c>
      <c r="L300" s="5" t="s">
        <v>31</v>
      </c>
      <c r="M300" s="305"/>
      <c r="N300" s="309"/>
      <c r="O300" s="309"/>
      <c r="P300" s="275" t="s">
        <v>2596</v>
      </c>
    </row>
    <row r="301" spans="1:16" ht="82.8" hidden="1">
      <c r="A301" s="3" t="s">
        <v>1001</v>
      </c>
      <c r="B301" s="3" t="s">
        <v>1002</v>
      </c>
      <c r="C301" s="3" t="s">
        <v>1027</v>
      </c>
      <c r="D301" s="10" t="s">
        <v>52</v>
      </c>
      <c r="E301" s="3">
        <v>5</v>
      </c>
      <c r="F301" s="4" t="s">
        <v>1083</v>
      </c>
      <c r="G301" s="4" t="s">
        <v>1084</v>
      </c>
      <c r="H301" s="11" t="s">
        <v>21</v>
      </c>
      <c r="I301" s="15" t="s">
        <v>21</v>
      </c>
      <c r="J301" s="15" t="s">
        <v>1085</v>
      </c>
      <c r="K301" s="11" t="s">
        <v>21</v>
      </c>
      <c r="L301" s="5" t="s">
        <v>31</v>
      </c>
      <c r="M301" s="305"/>
      <c r="N301" s="309"/>
      <c r="O301" s="309"/>
      <c r="P301" s="275" t="s">
        <v>2596</v>
      </c>
    </row>
    <row r="302" spans="1:16" ht="55.2" hidden="1">
      <c r="A302" s="3" t="s">
        <v>1001</v>
      </c>
      <c r="B302" s="3" t="s">
        <v>1002</v>
      </c>
      <c r="C302" s="3" t="s">
        <v>1027</v>
      </c>
      <c r="D302" s="10" t="s">
        <v>52</v>
      </c>
      <c r="E302" s="3">
        <v>5</v>
      </c>
      <c r="F302" s="4" t="s">
        <v>1086</v>
      </c>
      <c r="G302" s="2" t="s">
        <v>1087</v>
      </c>
      <c r="H302" s="11" t="s">
        <v>21</v>
      </c>
      <c r="I302" s="15" t="s">
        <v>21</v>
      </c>
      <c r="J302" s="15" t="s">
        <v>1088</v>
      </c>
      <c r="K302" s="11" t="s">
        <v>21</v>
      </c>
      <c r="L302" s="5" t="s">
        <v>31</v>
      </c>
      <c r="M302" s="305"/>
      <c r="N302" s="309"/>
      <c r="O302" s="309"/>
      <c r="P302" s="275" t="s">
        <v>2596</v>
      </c>
    </row>
    <row r="303" spans="1:16" ht="27.6" hidden="1">
      <c r="A303" s="3" t="s">
        <v>1001</v>
      </c>
      <c r="B303" s="3" t="s">
        <v>1002</v>
      </c>
      <c r="C303" s="3" t="s">
        <v>1089</v>
      </c>
      <c r="D303" s="6" t="s">
        <v>18</v>
      </c>
      <c r="E303" s="3">
        <v>1</v>
      </c>
      <c r="F303" s="2" t="s">
        <v>1090</v>
      </c>
      <c r="G303" s="2" t="s">
        <v>1091</v>
      </c>
      <c r="H303" s="11" t="s">
        <v>21</v>
      </c>
      <c r="I303" s="15" t="s">
        <v>21</v>
      </c>
      <c r="J303" s="15" t="s">
        <v>1092</v>
      </c>
      <c r="K303" s="11" t="s">
        <v>21</v>
      </c>
      <c r="L303" s="5" t="s">
        <v>31</v>
      </c>
      <c r="M303" s="305"/>
      <c r="N303" s="309"/>
      <c r="O303" s="309"/>
      <c r="P303" s="275" t="s">
        <v>2596</v>
      </c>
    </row>
    <row r="304" spans="1:16" ht="27.6" hidden="1">
      <c r="A304" s="3" t="s">
        <v>1001</v>
      </c>
      <c r="B304" s="3" t="s">
        <v>1002</v>
      </c>
      <c r="C304" s="3" t="s">
        <v>1089</v>
      </c>
      <c r="D304" s="7" t="s">
        <v>24</v>
      </c>
      <c r="E304" s="3">
        <v>2</v>
      </c>
      <c r="F304" s="2" t="s">
        <v>1093</v>
      </c>
      <c r="G304" s="2" t="s">
        <v>1094</v>
      </c>
      <c r="H304" s="11" t="s">
        <v>21</v>
      </c>
      <c r="I304" s="15" t="s">
        <v>21</v>
      </c>
      <c r="J304" s="15" t="s">
        <v>1095</v>
      </c>
      <c r="K304" s="11" t="s">
        <v>21</v>
      </c>
      <c r="L304" s="5" t="s">
        <v>31</v>
      </c>
      <c r="M304" s="305"/>
      <c r="N304" s="309"/>
      <c r="O304" s="309"/>
      <c r="P304" s="275" t="s">
        <v>2596</v>
      </c>
    </row>
    <row r="305" spans="1:16" ht="27.6" hidden="1">
      <c r="A305" s="3" t="s">
        <v>1001</v>
      </c>
      <c r="B305" s="3" t="s">
        <v>1002</v>
      </c>
      <c r="C305" s="3" t="s">
        <v>1089</v>
      </c>
      <c r="D305" s="7" t="s">
        <v>24</v>
      </c>
      <c r="E305" s="3">
        <v>2</v>
      </c>
      <c r="F305" s="2" t="s">
        <v>1096</v>
      </c>
      <c r="G305" s="2" t="s">
        <v>1097</v>
      </c>
      <c r="H305" s="11" t="s">
        <v>21</v>
      </c>
      <c r="I305" s="15" t="s">
        <v>21</v>
      </c>
      <c r="J305" s="15" t="s">
        <v>1098</v>
      </c>
      <c r="K305" s="11" t="s">
        <v>21</v>
      </c>
      <c r="L305" s="5" t="s">
        <v>31</v>
      </c>
      <c r="M305" s="305"/>
      <c r="N305" s="309"/>
      <c r="O305" s="309"/>
      <c r="P305" s="275" t="s">
        <v>2596</v>
      </c>
    </row>
    <row r="306" spans="1:16" ht="41.4" hidden="1">
      <c r="A306" s="3" t="s">
        <v>1001</v>
      </c>
      <c r="B306" s="3" t="s">
        <v>1002</v>
      </c>
      <c r="C306" s="3" t="s">
        <v>1089</v>
      </c>
      <c r="D306" s="7" t="s">
        <v>24</v>
      </c>
      <c r="E306" s="3">
        <v>2</v>
      </c>
      <c r="F306" s="2" t="s">
        <v>1099</v>
      </c>
      <c r="G306" s="2" t="s">
        <v>1100</v>
      </c>
      <c r="H306" s="11" t="s">
        <v>55</v>
      </c>
      <c r="I306" s="15" t="s">
        <v>1101</v>
      </c>
      <c r="J306" s="15" t="s">
        <v>1102</v>
      </c>
      <c r="K306" s="5" t="s">
        <v>31</v>
      </c>
      <c r="L306" s="5" t="s">
        <v>31</v>
      </c>
      <c r="M306" s="305"/>
      <c r="N306" s="309"/>
      <c r="O306" s="309"/>
      <c r="P306" s="275" t="s">
        <v>2596</v>
      </c>
    </row>
    <row r="307" spans="1:16" ht="41.4" hidden="1">
      <c r="A307" s="3" t="s">
        <v>1001</v>
      </c>
      <c r="B307" s="3" t="s">
        <v>1002</v>
      </c>
      <c r="C307" s="3" t="s">
        <v>1089</v>
      </c>
      <c r="D307" s="7" t="s">
        <v>24</v>
      </c>
      <c r="E307" s="3">
        <v>2</v>
      </c>
      <c r="F307" s="2" t="s">
        <v>1103</v>
      </c>
      <c r="G307" s="2" t="s">
        <v>1104</v>
      </c>
      <c r="H307" s="11" t="s">
        <v>55</v>
      </c>
      <c r="I307" s="15" t="s">
        <v>1105</v>
      </c>
      <c r="J307" s="15" t="s">
        <v>1106</v>
      </c>
      <c r="K307" s="5" t="s">
        <v>31</v>
      </c>
      <c r="L307" s="5" t="s">
        <v>31</v>
      </c>
      <c r="M307" s="305"/>
      <c r="N307" s="309"/>
      <c r="O307" s="309"/>
      <c r="P307" s="275" t="s">
        <v>2596</v>
      </c>
    </row>
    <row r="308" spans="1:16" ht="110.4" hidden="1">
      <c r="A308" s="3" t="s">
        <v>1001</v>
      </c>
      <c r="B308" s="3" t="s">
        <v>1002</v>
      </c>
      <c r="C308" s="3" t="s">
        <v>1089</v>
      </c>
      <c r="D308" s="7" t="s">
        <v>24</v>
      </c>
      <c r="E308" s="3">
        <v>2</v>
      </c>
      <c r="F308" s="2" t="s">
        <v>1107</v>
      </c>
      <c r="G308" s="2" t="s">
        <v>1108</v>
      </c>
      <c r="H308" s="11" t="s">
        <v>27</v>
      </c>
      <c r="I308" s="15" t="s">
        <v>1109</v>
      </c>
      <c r="J308" s="15" t="s">
        <v>1110</v>
      </c>
      <c r="K308" s="5" t="s">
        <v>31</v>
      </c>
      <c r="L308" s="5" t="s">
        <v>31</v>
      </c>
      <c r="M308" s="305"/>
      <c r="N308" s="309"/>
      <c r="O308" s="309"/>
      <c r="P308" s="275" t="s">
        <v>2596</v>
      </c>
    </row>
    <row r="309" spans="1:16" ht="55.2" hidden="1">
      <c r="A309" s="3" t="s">
        <v>1001</v>
      </c>
      <c r="B309" s="3" t="s">
        <v>1002</v>
      </c>
      <c r="C309" s="3" t="s">
        <v>1089</v>
      </c>
      <c r="D309" s="7" t="s">
        <v>24</v>
      </c>
      <c r="E309" s="3">
        <v>2</v>
      </c>
      <c r="F309" s="2" t="s">
        <v>1111</v>
      </c>
      <c r="G309" s="2" t="s">
        <v>1112</v>
      </c>
      <c r="H309" s="11" t="s">
        <v>181</v>
      </c>
      <c r="I309" s="15" t="s">
        <v>1113</v>
      </c>
      <c r="J309" s="15" t="s">
        <v>1114</v>
      </c>
      <c r="K309" s="5" t="s">
        <v>31</v>
      </c>
      <c r="L309" s="5" t="s">
        <v>31</v>
      </c>
      <c r="M309" s="305"/>
      <c r="N309" s="309"/>
      <c r="O309" s="309"/>
      <c r="P309" s="275" t="s">
        <v>2596</v>
      </c>
    </row>
    <row r="310" spans="1:16" ht="41.4" hidden="1">
      <c r="A310" s="3" t="s">
        <v>1001</v>
      </c>
      <c r="B310" s="3" t="s">
        <v>1002</v>
      </c>
      <c r="C310" s="3" t="s">
        <v>1089</v>
      </c>
      <c r="D310" s="7" t="s">
        <v>24</v>
      </c>
      <c r="E310" s="3">
        <v>2</v>
      </c>
      <c r="F310" s="2" t="s">
        <v>1115</v>
      </c>
      <c r="G310" s="2" t="s">
        <v>1116</v>
      </c>
      <c r="H310" s="11" t="s">
        <v>55</v>
      </c>
      <c r="I310" s="15" t="s">
        <v>1117</v>
      </c>
      <c r="J310" s="15" t="s">
        <v>1118</v>
      </c>
      <c r="K310" s="5" t="s">
        <v>31</v>
      </c>
      <c r="L310" s="5" t="s">
        <v>31</v>
      </c>
      <c r="M310" s="305"/>
      <c r="N310" s="309"/>
      <c r="O310" s="309"/>
      <c r="P310" s="275" t="s">
        <v>2596</v>
      </c>
    </row>
    <row r="311" spans="1:16" ht="193.2" hidden="1">
      <c r="A311" s="3" t="s">
        <v>1001</v>
      </c>
      <c r="B311" s="3" t="s">
        <v>1002</v>
      </c>
      <c r="C311" s="3" t="s">
        <v>1089</v>
      </c>
      <c r="D311" s="8" t="s">
        <v>40</v>
      </c>
      <c r="E311" s="3">
        <v>3</v>
      </c>
      <c r="F311" s="34" t="s">
        <v>1119</v>
      </c>
      <c r="G311" s="34" t="s">
        <v>1120</v>
      </c>
      <c r="H311" s="11" t="s">
        <v>21</v>
      </c>
      <c r="I311" s="15" t="s">
        <v>21</v>
      </c>
      <c r="J311" s="15" t="s">
        <v>1121</v>
      </c>
      <c r="K311" s="11" t="s">
        <v>21</v>
      </c>
      <c r="L311" s="5" t="s">
        <v>31</v>
      </c>
      <c r="M311" s="305"/>
      <c r="N311" s="309"/>
      <c r="O311" s="309"/>
      <c r="P311" s="275" t="s">
        <v>2596</v>
      </c>
    </row>
    <row r="312" spans="1:16" ht="27.6" hidden="1">
      <c r="A312" s="3" t="s">
        <v>1001</v>
      </c>
      <c r="B312" s="3" t="s">
        <v>1002</v>
      </c>
      <c r="C312" s="3" t="s">
        <v>1089</v>
      </c>
      <c r="D312" s="8" t="s">
        <v>40</v>
      </c>
      <c r="E312" s="3">
        <v>3</v>
      </c>
      <c r="F312" s="2" t="s">
        <v>1122</v>
      </c>
      <c r="G312" s="2" t="s">
        <v>1123</v>
      </c>
      <c r="H312" s="11" t="s">
        <v>55</v>
      </c>
      <c r="I312" s="15" t="s">
        <v>1124</v>
      </c>
      <c r="J312" s="15" t="s">
        <v>1125</v>
      </c>
      <c r="K312" s="5" t="s">
        <v>31</v>
      </c>
      <c r="L312" s="5" t="s">
        <v>31</v>
      </c>
      <c r="M312" s="305"/>
      <c r="N312" s="309"/>
      <c r="O312" s="309"/>
      <c r="P312" s="275" t="s">
        <v>2596</v>
      </c>
    </row>
    <row r="313" spans="1:16" ht="41.4" hidden="1">
      <c r="A313" s="3" t="s">
        <v>1001</v>
      </c>
      <c r="B313" s="3" t="s">
        <v>1002</v>
      </c>
      <c r="C313" s="3" t="s">
        <v>1089</v>
      </c>
      <c r="D313" s="8" t="s">
        <v>40</v>
      </c>
      <c r="E313" s="3">
        <v>3</v>
      </c>
      <c r="F313" s="2" t="s">
        <v>1126</v>
      </c>
      <c r="G313" s="2" t="s">
        <v>1127</v>
      </c>
      <c r="H313" s="11" t="s">
        <v>21</v>
      </c>
      <c r="I313" s="15" t="s">
        <v>21</v>
      </c>
      <c r="J313" s="15" t="s">
        <v>1128</v>
      </c>
      <c r="K313" s="11" t="s">
        <v>21</v>
      </c>
      <c r="L313" s="5" t="s">
        <v>31</v>
      </c>
      <c r="M313" s="305"/>
      <c r="N313" s="309"/>
      <c r="O313" s="309"/>
      <c r="P313" s="275" t="s">
        <v>2596</v>
      </c>
    </row>
    <row r="314" spans="1:16" ht="27.6" hidden="1">
      <c r="A314" s="3" t="s">
        <v>1001</v>
      </c>
      <c r="B314" s="3" t="s">
        <v>1002</v>
      </c>
      <c r="C314" s="3" t="s">
        <v>1089</v>
      </c>
      <c r="D314" s="8" t="s">
        <v>40</v>
      </c>
      <c r="E314" s="3">
        <v>3</v>
      </c>
      <c r="F314" s="2" t="s">
        <v>1129</v>
      </c>
      <c r="G314" s="2" t="s">
        <v>1130</v>
      </c>
      <c r="H314" s="11" t="s">
        <v>55</v>
      </c>
      <c r="I314" s="15" t="s">
        <v>1131</v>
      </c>
      <c r="J314" s="15" t="s">
        <v>1132</v>
      </c>
      <c r="K314" s="5" t="s">
        <v>31</v>
      </c>
      <c r="L314" s="5" t="s">
        <v>31</v>
      </c>
      <c r="M314" s="305"/>
      <c r="N314" s="309"/>
      <c r="O314" s="309"/>
      <c r="P314" s="275" t="s">
        <v>2596</v>
      </c>
    </row>
    <row r="315" spans="1:16" ht="409.6" hidden="1">
      <c r="A315" s="3" t="s">
        <v>1001</v>
      </c>
      <c r="B315" s="3" t="s">
        <v>1002</v>
      </c>
      <c r="C315" s="3" t="s">
        <v>1089</v>
      </c>
      <c r="D315" s="12" t="s">
        <v>48</v>
      </c>
      <c r="E315" s="3">
        <v>4</v>
      </c>
      <c r="F315" s="4" t="s">
        <v>1133</v>
      </c>
      <c r="G315" s="4" t="s">
        <v>1134</v>
      </c>
      <c r="H315" s="11" t="s">
        <v>21</v>
      </c>
      <c r="I315" s="15" t="s">
        <v>21</v>
      </c>
      <c r="J315" s="15" t="s">
        <v>1135</v>
      </c>
      <c r="K315" s="11" t="s">
        <v>21</v>
      </c>
      <c r="L315" s="5" t="s">
        <v>31</v>
      </c>
      <c r="M315" s="305"/>
      <c r="N315" s="309"/>
      <c r="O315" s="309"/>
      <c r="P315" s="275" t="s">
        <v>2596</v>
      </c>
    </row>
    <row r="316" spans="1:16" ht="409.6" hidden="1">
      <c r="A316" s="3" t="s">
        <v>1001</v>
      </c>
      <c r="B316" s="3" t="s">
        <v>1002</v>
      </c>
      <c r="C316" s="3" t="s">
        <v>1089</v>
      </c>
      <c r="D316" s="12" t="s">
        <v>48</v>
      </c>
      <c r="E316" s="3">
        <v>4</v>
      </c>
      <c r="F316" s="4" t="s">
        <v>1136</v>
      </c>
      <c r="G316" s="4" t="s">
        <v>1137</v>
      </c>
      <c r="H316" s="11" t="s">
        <v>55</v>
      </c>
      <c r="I316" s="15" t="s">
        <v>1138</v>
      </c>
      <c r="J316" s="15" t="s">
        <v>1139</v>
      </c>
      <c r="K316" s="5" t="s">
        <v>31</v>
      </c>
      <c r="L316" s="5" t="s">
        <v>31</v>
      </c>
      <c r="M316" s="305"/>
      <c r="N316" s="309"/>
      <c r="O316" s="309"/>
      <c r="P316" s="275" t="s">
        <v>2596</v>
      </c>
    </row>
    <row r="317" spans="1:16" ht="138" hidden="1">
      <c r="A317" s="3" t="s">
        <v>1001</v>
      </c>
      <c r="B317" s="3" t="s">
        <v>1002</v>
      </c>
      <c r="C317" s="3" t="s">
        <v>1089</v>
      </c>
      <c r="D317" s="10" t="s">
        <v>52</v>
      </c>
      <c r="E317" s="3">
        <v>5</v>
      </c>
      <c r="F317" s="4" t="s">
        <v>1140</v>
      </c>
      <c r="G317" s="4" t="s">
        <v>1141</v>
      </c>
      <c r="H317" s="11" t="s">
        <v>21</v>
      </c>
      <c r="I317" s="15" t="s">
        <v>21</v>
      </c>
      <c r="J317" s="15" t="s">
        <v>1142</v>
      </c>
      <c r="K317" s="11" t="s">
        <v>21</v>
      </c>
      <c r="L317" s="5" t="s">
        <v>31</v>
      </c>
      <c r="M317" s="305"/>
      <c r="N317" s="309"/>
      <c r="O317" s="309"/>
      <c r="P317" s="275" t="s">
        <v>2596</v>
      </c>
    </row>
    <row r="318" spans="1:16" ht="55.2">
      <c r="A318" s="23" t="s">
        <v>1143</v>
      </c>
      <c r="B318" s="3" t="s">
        <v>1144</v>
      </c>
      <c r="C318" s="3" t="s">
        <v>1145</v>
      </c>
      <c r="D318" s="6" t="s">
        <v>18</v>
      </c>
      <c r="E318" s="3">
        <v>1</v>
      </c>
      <c r="F318" s="4" t="s">
        <v>1146</v>
      </c>
      <c r="G318" s="14" t="s">
        <v>1147</v>
      </c>
      <c r="H318" s="11" t="s">
        <v>21</v>
      </c>
      <c r="I318" s="15" t="s">
        <v>21</v>
      </c>
      <c r="J318" s="15" t="s">
        <v>1148</v>
      </c>
      <c r="K318" s="11" t="s">
        <v>21</v>
      </c>
      <c r="L318" s="5" t="s">
        <v>23</v>
      </c>
      <c r="M318" s="305"/>
      <c r="N318" s="309"/>
      <c r="O318" s="309" t="s">
        <v>2513</v>
      </c>
      <c r="P318" s="275" t="s">
        <v>2647</v>
      </c>
    </row>
    <row r="319" spans="1:16" ht="136.94999999999999" customHeight="1">
      <c r="A319" s="23" t="s">
        <v>1143</v>
      </c>
      <c r="B319" s="3" t="s">
        <v>1144</v>
      </c>
      <c r="C319" s="3" t="s">
        <v>1145</v>
      </c>
      <c r="D319" s="7" t="s">
        <v>24</v>
      </c>
      <c r="E319" s="3">
        <v>2</v>
      </c>
      <c r="F319" s="4" t="s">
        <v>1149</v>
      </c>
      <c r="G319" s="4" t="s">
        <v>1150</v>
      </c>
      <c r="H319" s="11" t="s">
        <v>27</v>
      </c>
      <c r="I319" s="15" t="s">
        <v>1151</v>
      </c>
      <c r="J319" s="15" t="s">
        <v>1152</v>
      </c>
      <c r="K319" s="5" t="s">
        <v>23</v>
      </c>
      <c r="L319" s="5" t="s">
        <v>23</v>
      </c>
      <c r="M319" s="305"/>
      <c r="N319" s="309"/>
      <c r="O319" s="309" t="s">
        <v>2514</v>
      </c>
      <c r="P319" s="275" t="s">
        <v>2598</v>
      </c>
    </row>
    <row r="320" spans="1:16" ht="193.05" customHeight="1">
      <c r="A320" s="23" t="s">
        <v>1143</v>
      </c>
      <c r="B320" s="3" t="s">
        <v>1144</v>
      </c>
      <c r="C320" s="3" t="s">
        <v>1145</v>
      </c>
      <c r="D320" s="8" t="s">
        <v>40</v>
      </c>
      <c r="E320" s="3">
        <v>3</v>
      </c>
      <c r="F320" s="4" t="s">
        <v>1153</v>
      </c>
      <c r="G320" s="2" t="s">
        <v>1154</v>
      </c>
      <c r="H320" s="11" t="s">
        <v>21</v>
      </c>
      <c r="I320" s="15" t="s">
        <v>21</v>
      </c>
      <c r="J320" s="15" t="s">
        <v>1155</v>
      </c>
      <c r="K320" s="11" t="s">
        <v>21</v>
      </c>
      <c r="L320" s="5" t="s">
        <v>31</v>
      </c>
      <c r="M320" s="305"/>
      <c r="N320" s="309"/>
      <c r="O320" s="309"/>
      <c r="P320" s="275" t="s">
        <v>2596</v>
      </c>
    </row>
    <row r="321" spans="1:16" ht="96.6">
      <c r="A321" s="23" t="s">
        <v>1143</v>
      </c>
      <c r="B321" s="3" t="s">
        <v>1144</v>
      </c>
      <c r="C321" s="3" t="s">
        <v>1145</v>
      </c>
      <c r="D321" s="8" t="s">
        <v>40</v>
      </c>
      <c r="E321" s="3">
        <v>3</v>
      </c>
      <c r="F321" s="4" t="s">
        <v>1156</v>
      </c>
      <c r="G321" s="4" t="s">
        <v>1157</v>
      </c>
      <c r="H321" s="11" t="s">
        <v>55</v>
      </c>
      <c r="I321" s="15" t="s">
        <v>1158</v>
      </c>
      <c r="J321" s="15" t="s">
        <v>1159</v>
      </c>
      <c r="K321" s="5" t="s">
        <v>31</v>
      </c>
      <c r="L321" s="5" t="s">
        <v>31</v>
      </c>
      <c r="M321" s="305"/>
      <c r="N321" s="309"/>
      <c r="O321" s="309"/>
      <c r="P321" s="275" t="s">
        <v>2596</v>
      </c>
    </row>
    <row r="322" spans="1:16" ht="41.4">
      <c r="A322" s="23" t="s">
        <v>1143</v>
      </c>
      <c r="B322" s="3" t="s">
        <v>1144</v>
      </c>
      <c r="C322" s="3" t="s">
        <v>1145</v>
      </c>
      <c r="D322" s="8" t="s">
        <v>40</v>
      </c>
      <c r="E322" s="3">
        <v>3</v>
      </c>
      <c r="F322" s="4" t="s">
        <v>1160</v>
      </c>
      <c r="G322" s="4" t="s">
        <v>1161</v>
      </c>
      <c r="H322" s="11" t="s">
        <v>27</v>
      </c>
      <c r="I322" s="15" t="s">
        <v>1162</v>
      </c>
      <c r="J322" s="15" t="s">
        <v>1163</v>
      </c>
      <c r="K322" s="5" t="s">
        <v>31</v>
      </c>
      <c r="L322" s="5" t="s">
        <v>31</v>
      </c>
      <c r="M322" s="305"/>
      <c r="N322" s="310"/>
      <c r="O322" s="310"/>
      <c r="P322" s="275" t="s">
        <v>2584</v>
      </c>
    </row>
    <row r="323" spans="1:16" ht="41.4">
      <c r="A323" s="23" t="s">
        <v>1143</v>
      </c>
      <c r="B323" s="3" t="s">
        <v>1144</v>
      </c>
      <c r="C323" s="3" t="s">
        <v>1145</v>
      </c>
      <c r="D323" s="8" t="s">
        <v>40</v>
      </c>
      <c r="E323" s="3">
        <v>3</v>
      </c>
      <c r="F323" s="4" t="s">
        <v>1164</v>
      </c>
      <c r="G323" s="4" t="s">
        <v>1165</v>
      </c>
      <c r="H323" s="11" t="s">
        <v>55</v>
      </c>
      <c r="I323" s="15" t="s">
        <v>1166</v>
      </c>
      <c r="J323" s="15" t="s">
        <v>1167</v>
      </c>
      <c r="K323" s="5" t="s">
        <v>31</v>
      </c>
      <c r="L323" s="5" t="s">
        <v>31</v>
      </c>
      <c r="M323" s="305"/>
      <c r="N323" s="309"/>
      <c r="O323" s="309"/>
      <c r="P323" s="275" t="s">
        <v>2596</v>
      </c>
    </row>
    <row r="324" spans="1:16" ht="82.8">
      <c r="A324" s="23" t="s">
        <v>1143</v>
      </c>
      <c r="B324" s="3" t="s">
        <v>1144</v>
      </c>
      <c r="C324" s="3" t="s">
        <v>1145</v>
      </c>
      <c r="D324" s="8" t="s">
        <v>40</v>
      </c>
      <c r="E324" s="3">
        <v>3</v>
      </c>
      <c r="F324" s="4" t="s">
        <v>1168</v>
      </c>
      <c r="G324" s="2" t="s">
        <v>1169</v>
      </c>
      <c r="H324" s="11" t="s">
        <v>55</v>
      </c>
      <c r="I324" s="15" t="s">
        <v>1170</v>
      </c>
      <c r="J324" s="15" t="s">
        <v>1171</v>
      </c>
      <c r="K324" s="5" t="s">
        <v>31</v>
      </c>
      <c r="L324" s="5" t="s">
        <v>31</v>
      </c>
      <c r="M324" s="305"/>
      <c r="N324" s="309"/>
      <c r="O324" s="309"/>
      <c r="P324" s="275" t="s">
        <v>2596</v>
      </c>
    </row>
    <row r="325" spans="1:16" ht="372.6">
      <c r="A325" s="23" t="s">
        <v>1143</v>
      </c>
      <c r="B325" s="3" t="s">
        <v>1144</v>
      </c>
      <c r="C325" s="3" t="s">
        <v>1145</v>
      </c>
      <c r="D325" s="12" t="s">
        <v>48</v>
      </c>
      <c r="E325" s="3">
        <v>4</v>
      </c>
      <c r="F325" s="4" t="s">
        <v>1172</v>
      </c>
      <c r="G325" s="4" t="s">
        <v>1173</v>
      </c>
      <c r="H325" s="11" t="s">
        <v>21</v>
      </c>
      <c r="I325" s="15" t="s">
        <v>21</v>
      </c>
      <c r="J325" s="15" t="s">
        <v>1174</v>
      </c>
      <c r="K325" s="11" t="s">
        <v>21</v>
      </c>
      <c r="L325" s="5" t="s">
        <v>31</v>
      </c>
      <c r="M325" s="305"/>
      <c r="N325" s="309"/>
      <c r="O325" s="309"/>
      <c r="P325" s="275" t="s">
        <v>2596</v>
      </c>
    </row>
    <row r="326" spans="1:16" ht="110.4">
      <c r="A326" s="23" t="s">
        <v>1143</v>
      </c>
      <c r="B326" s="3" t="s">
        <v>1144</v>
      </c>
      <c r="C326" s="3" t="s">
        <v>1145</v>
      </c>
      <c r="D326" s="10" t="s">
        <v>52</v>
      </c>
      <c r="E326" s="3">
        <v>5</v>
      </c>
      <c r="F326" s="4" t="s">
        <v>1175</v>
      </c>
      <c r="G326" s="4" t="s">
        <v>1176</v>
      </c>
      <c r="H326" s="11" t="s">
        <v>21</v>
      </c>
      <c r="I326" s="15" t="s">
        <v>21</v>
      </c>
      <c r="J326" s="15" t="s">
        <v>1177</v>
      </c>
      <c r="K326" s="11" t="s">
        <v>21</v>
      </c>
      <c r="L326" s="5" t="s">
        <v>31</v>
      </c>
      <c r="M326" s="305"/>
      <c r="N326" s="309"/>
      <c r="O326" s="309"/>
      <c r="P326" s="275" t="s">
        <v>2596</v>
      </c>
    </row>
    <row r="327" spans="1:16" ht="41.4">
      <c r="A327" s="23" t="s">
        <v>1143</v>
      </c>
      <c r="B327" s="3" t="s">
        <v>1144</v>
      </c>
      <c r="C327" s="3" t="s">
        <v>1178</v>
      </c>
      <c r="D327" s="6" t="s">
        <v>18</v>
      </c>
      <c r="E327" s="3">
        <v>1</v>
      </c>
      <c r="F327" s="4" t="s">
        <v>1179</v>
      </c>
      <c r="G327" s="2" t="s">
        <v>1180</v>
      </c>
      <c r="H327" s="11" t="s">
        <v>21</v>
      </c>
      <c r="I327" s="15" t="s">
        <v>21</v>
      </c>
      <c r="J327" s="15" t="s">
        <v>1181</v>
      </c>
      <c r="K327" s="11" t="s">
        <v>21</v>
      </c>
      <c r="L327" s="5" t="s">
        <v>31</v>
      </c>
      <c r="M327" s="305"/>
      <c r="N327" s="309"/>
      <c r="O327" s="309"/>
      <c r="P327" s="275" t="s">
        <v>2647</v>
      </c>
    </row>
    <row r="328" spans="1:16" ht="136.05000000000001" customHeight="1">
      <c r="A328" s="23" t="s">
        <v>1143</v>
      </c>
      <c r="B328" s="3" t="s">
        <v>1144</v>
      </c>
      <c r="C328" s="3" t="s">
        <v>1178</v>
      </c>
      <c r="D328" s="7" t="s">
        <v>24</v>
      </c>
      <c r="E328" s="3">
        <v>2</v>
      </c>
      <c r="F328" s="4" t="s">
        <v>1182</v>
      </c>
      <c r="G328" s="4" t="s">
        <v>1183</v>
      </c>
      <c r="H328" s="11" t="s">
        <v>27</v>
      </c>
      <c r="I328" s="15" t="s">
        <v>1184</v>
      </c>
      <c r="J328" s="15" t="s">
        <v>1185</v>
      </c>
      <c r="K328" s="5" t="s">
        <v>31</v>
      </c>
      <c r="L328" s="5" t="s">
        <v>31</v>
      </c>
      <c r="M328" s="305"/>
      <c r="N328" s="309"/>
      <c r="O328" s="309"/>
      <c r="P328" s="275" t="s">
        <v>2647</v>
      </c>
    </row>
    <row r="329" spans="1:16" ht="55.2">
      <c r="A329" s="23" t="s">
        <v>1143</v>
      </c>
      <c r="B329" s="3" t="s">
        <v>1144</v>
      </c>
      <c r="C329" s="3" t="s">
        <v>1178</v>
      </c>
      <c r="D329" s="7" t="s">
        <v>24</v>
      </c>
      <c r="E329" s="3">
        <v>2</v>
      </c>
      <c r="F329" s="4" t="s">
        <v>1186</v>
      </c>
      <c r="G329" s="4" t="s">
        <v>1187</v>
      </c>
      <c r="H329" s="11" t="s">
        <v>27</v>
      </c>
      <c r="I329" s="15" t="s">
        <v>1188</v>
      </c>
      <c r="J329" s="15" t="s">
        <v>1189</v>
      </c>
      <c r="K329" s="5" t="s">
        <v>31</v>
      </c>
      <c r="L329" s="5" t="s">
        <v>31</v>
      </c>
      <c r="M329" s="305"/>
      <c r="N329" s="309"/>
      <c r="O329" s="309"/>
      <c r="P329" s="275" t="s">
        <v>2647</v>
      </c>
    </row>
    <row r="330" spans="1:16" ht="55.2">
      <c r="A330" s="23" t="s">
        <v>1143</v>
      </c>
      <c r="B330" s="3" t="s">
        <v>1144</v>
      </c>
      <c r="C330" s="3" t="s">
        <v>1178</v>
      </c>
      <c r="D330" s="7" t="s">
        <v>24</v>
      </c>
      <c r="E330" s="3">
        <v>2</v>
      </c>
      <c r="F330" s="4" t="s">
        <v>1190</v>
      </c>
      <c r="G330" s="4" t="s">
        <v>1191</v>
      </c>
      <c r="H330" s="11" t="s">
        <v>27</v>
      </c>
      <c r="I330" s="15" t="s">
        <v>1192</v>
      </c>
      <c r="J330" s="15" t="s">
        <v>1193</v>
      </c>
      <c r="K330" s="5" t="s">
        <v>31</v>
      </c>
      <c r="L330" s="5" t="s">
        <v>31</v>
      </c>
      <c r="M330" s="305"/>
      <c r="N330" s="309"/>
      <c r="O330" s="309"/>
      <c r="P330" s="275" t="s">
        <v>2647</v>
      </c>
    </row>
    <row r="331" spans="1:16" ht="138">
      <c r="A331" s="23" t="s">
        <v>1143</v>
      </c>
      <c r="B331" s="3" t="s">
        <v>1144</v>
      </c>
      <c r="C331" s="3" t="s">
        <v>1178</v>
      </c>
      <c r="D331" s="7" t="s">
        <v>24</v>
      </c>
      <c r="E331" s="3">
        <v>2</v>
      </c>
      <c r="F331" s="4" t="s">
        <v>1194</v>
      </c>
      <c r="G331" s="4" t="s">
        <v>1195</v>
      </c>
      <c r="H331" s="11" t="s">
        <v>27</v>
      </c>
      <c r="I331" s="15" t="s">
        <v>1196</v>
      </c>
      <c r="J331" s="15" t="s">
        <v>1197</v>
      </c>
      <c r="K331" s="5" t="s">
        <v>31</v>
      </c>
      <c r="L331" s="5" t="s">
        <v>31</v>
      </c>
      <c r="M331" s="305"/>
      <c r="N331" s="309"/>
      <c r="O331" s="309"/>
      <c r="P331" s="275" t="s">
        <v>2647</v>
      </c>
    </row>
    <row r="332" spans="1:16" ht="55.2">
      <c r="A332" s="23" t="s">
        <v>1143</v>
      </c>
      <c r="B332" s="3" t="s">
        <v>1144</v>
      </c>
      <c r="C332" s="3" t="s">
        <v>1178</v>
      </c>
      <c r="D332" s="7" t="s">
        <v>24</v>
      </c>
      <c r="E332" s="3">
        <v>2</v>
      </c>
      <c r="F332" s="4" t="s">
        <v>1198</v>
      </c>
      <c r="G332" s="4" t="s">
        <v>1199</v>
      </c>
      <c r="H332" s="11" t="s">
        <v>55</v>
      </c>
      <c r="I332" s="15" t="s">
        <v>1200</v>
      </c>
      <c r="J332" s="15" t="s">
        <v>1201</v>
      </c>
      <c r="K332" s="5" t="s">
        <v>31</v>
      </c>
      <c r="L332" s="5" t="s">
        <v>31</v>
      </c>
      <c r="M332" s="305"/>
      <c r="N332" s="309"/>
      <c r="O332" s="309"/>
      <c r="P332" s="275" t="s">
        <v>2647</v>
      </c>
    </row>
    <row r="333" spans="1:16" ht="96.6">
      <c r="A333" s="23" t="s">
        <v>1143</v>
      </c>
      <c r="B333" s="3" t="s">
        <v>1144</v>
      </c>
      <c r="C333" s="3" t="s">
        <v>1178</v>
      </c>
      <c r="D333" s="8" t="s">
        <v>40</v>
      </c>
      <c r="E333" s="3">
        <v>3</v>
      </c>
      <c r="F333" s="4" t="s">
        <v>1202</v>
      </c>
      <c r="G333" s="4" t="s">
        <v>1203</v>
      </c>
      <c r="H333" s="11" t="s">
        <v>55</v>
      </c>
      <c r="I333" s="15" t="s">
        <v>1204</v>
      </c>
      <c r="J333" s="15" t="s">
        <v>1205</v>
      </c>
      <c r="K333" s="5" t="s">
        <v>31</v>
      </c>
      <c r="L333" s="5" t="s">
        <v>31</v>
      </c>
      <c r="M333" s="305"/>
      <c r="N333" s="309"/>
      <c r="O333" s="309"/>
      <c r="P333" s="275" t="s">
        <v>2596</v>
      </c>
    </row>
    <row r="334" spans="1:16" ht="138">
      <c r="A334" s="23" t="s">
        <v>1143</v>
      </c>
      <c r="B334" s="3" t="s">
        <v>1144</v>
      </c>
      <c r="C334" s="3" t="s">
        <v>1178</v>
      </c>
      <c r="D334" s="8" t="s">
        <v>40</v>
      </c>
      <c r="E334" s="3">
        <v>3</v>
      </c>
      <c r="F334" s="4" t="s">
        <v>1206</v>
      </c>
      <c r="G334" s="4" t="s">
        <v>1207</v>
      </c>
      <c r="H334" s="11" t="s">
        <v>21</v>
      </c>
      <c r="I334" s="15" t="s">
        <v>21</v>
      </c>
      <c r="J334" s="15" t="s">
        <v>1208</v>
      </c>
      <c r="K334" s="11" t="s">
        <v>21</v>
      </c>
      <c r="L334" s="5" t="s">
        <v>31</v>
      </c>
      <c r="M334" s="305"/>
      <c r="N334" s="309"/>
      <c r="O334" s="309"/>
      <c r="P334" s="275" t="s">
        <v>2596</v>
      </c>
    </row>
    <row r="335" spans="1:16" ht="409.6">
      <c r="A335" s="23" t="s">
        <v>1143</v>
      </c>
      <c r="B335" s="3" t="s">
        <v>1144</v>
      </c>
      <c r="C335" s="3" t="s">
        <v>1178</v>
      </c>
      <c r="D335" s="12" t="s">
        <v>48</v>
      </c>
      <c r="E335" s="3">
        <v>4</v>
      </c>
      <c r="F335" s="4" t="s">
        <v>1209</v>
      </c>
      <c r="G335" s="4" t="s">
        <v>1210</v>
      </c>
      <c r="H335" s="11" t="s">
        <v>55</v>
      </c>
      <c r="I335" s="15" t="s">
        <v>1211</v>
      </c>
      <c r="J335" s="15" t="s">
        <v>1212</v>
      </c>
      <c r="K335" s="5" t="s">
        <v>31</v>
      </c>
      <c r="L335" s="5" t="s">
        <v>31</v>
      </c>
      <c r="M335" s="305"/>
      <c r="N335" s="309"/>
      <c r="O335" s="309"/>
      <c r="P335" s="275" t="s">
        <v>2596</v>
      </c>
    </row>
    <row r="336" spans="1:16" ht="124.2">
      <c r="A336" s="23" t="s">
        <v>1143</v>
      </c>
      <c r="B336" s="3" t="s">
        <v>1144</v>
      </c>
      <c r="C336" s="3" t="s">
        <v>1178</v>
      </c>
      <c r="D336" s="10" t="s">
        <v>52</v>
      </c>
      <c r="E336" s="3">
        <v>5</v>
      </c>
      <c r="F336" s="4" t="s">
        <v>1213</v>
      </c>
      <c r="G336" s="4" t="s">
        <v>1214</v>
      </c>
      <c r="H336" s="11" t="s">
        <v>21</v>
      </c>
      <c r="I336" s="15" t="s">
        <v>21</v>
      </c>
      <c r="J336" s="15" t="s">
        <v>1215</v>
      </c>
      <c r="K336" s="11" t="s">
        <v>21</v>
      </c>
      <c r="L336" s="5" t="s">
        <v>31</v>
      </c>
      <c r="M336" s="305"/>
      <c r="N336" s="309"/>
      <c r="O336" s="309"/>
      <c r="P336" s="275" t="s">
        <v>2596</v>
      </c>
    </row>
    <row r="337" spans="1:16" ht="55.2">
      <c r="A337" s="23" t="s">
        <v>1143</v>
      </c>
      <c r="B337" s="3" t="s">
        <v>1144</v>
      </c>
      <c r="C337" s="3" t="s">
        <v>1216</v>
      </c>
      <c r="D337" s="6" t="s">
        <v>18</v>
      </c>
      <c r="E337" s="3">
        <v>1</v>
      </c>
      <c r="F337" s="4" t="s">
        <v>1217</v>
      </c>
      <c r="G337" s="2" t="s">
        <v>1218</v>
      </c>
      <c r="H337" s="11" t="s">
        <v>21</v>
      </c>
      <c r="I337" s="15" t="s">
        <v>21</v>
      </c>
      <c r="J337" s="15" t="s">
        <v>1219</v>
      </c>
      <c r="K337" s="11" t="s">
        <v>21</v>
      </c>
      <c r="L337" s="5" t="s">
        <v>31</v>
      </c>
      <c r="M337" s="305"/>
      <c r="N337" s="309"/>
      <c r="O337" s="309"/>
      <c r="P337" s="275" t="s">
        <v>2647</v>
      </c>
    </row>
    <row r="338" spans="1:16" ht="157.05000000000001" customHeight="1">
      <c r="A338" s="23" t="s">
        <v>1143</v>
      </c>
      <c r="B338" s="3" t="s">
        <v>1144</v>
      </c>
      <c r="C338" s="3" t="s">
        <v>1216</v>
      </c>
      <c r="D338" s="7" t="s">
        <v>24</v>
      </c>
      <c r="E338" s="3">
        <v>2</v>
      </c>
      <c r="F338" s="4" t="s">
        <v>1220</v>
      </c>
      <c r="G338" s="4" t="s">
        <v>1221</v>
      </c>
      <c r="H338" s="11" t="s">
        <v>27</v>
      </c>
      <c r="I338" s="15" t="s">
        <v>1222</v>
      </c>
      <c r="J338" s="15" t="s">
        <v>1223</v>
      </c>
      <c r="K338" s="5" t="s">
        <v>31</v>
      </c>
      <c r="L338" s="5" t="s">
        <v>31</v>
      </c>
      <c r="M338" s="305"/>
      <c r="N338" s="309"/>
      <c r="O338" s="309"/>
      <c r="P338" s="275" t="s">
        <v>2647</v>
      </c>
    </row>
    <row r="339" spans="1:16" ht="138">
      <c r="A339" s="23" t="s">
        <v>1143</v>
      </c>
      <c r="B339" s="3" t="s">
        <v>1144</v>
      </c>
      <c r="C339" s="3" t="s">
        <v>1216</v>
      </c>
      <c r="D339" s="7" t="s">
        <v>24</v>
      </c>
      <c r="E339" s="3">
        <v>2</v>
      </c>
      <c r="F339" s="4" t="s">
        <v>1224</v>
      </c>
      <c r="G339" s="4" t="s">
        <v>1225</v>
      </c>
      <c r="H339" s="11" t="s">
        <v>27</v>
      </c>
      <c r="I339" s="15" t="s">
        <v>1226</v>
      </c>
      <c r="J339" s="15" t="s">
        <v>1227</v>
      </c>
      <c r="K339" s="5" t="s">
        <v>31</v>
      </c>
      <c r="L339" s="5" t="s">
        <v>31</v>
      </c>
      <c r="M339" s="305"/>
      <c r="N339" s="309"/>
      <c r="O339" s="309"/>
      <c r="P339" s="275" t="s">
        <v>2647</v>
      </c>
    </row>
    <row r="340" spans="1:16" ht="262.2">
      <c r="A340" s="23" t="s">
        <v>1143</v>
      </c>
      <c r="B340" s="3" t="s">
        <v>1144</v>
      </c>
      <c r="C340" s="3" t="s">
        <v>1216</v>
      </c>
      <c r="D340" s="7" t="s">
        <v>24</v>
      </c>
      <c r="E340" s="3">
        <v>2</v>
      </c>
      <c r="F340" s="4" t="s">
        <v>1228</v>
      </c>
      <c r="G340" s="4" t="s">
        <v>1229</v>
      </c>
      <c r="H340" s="11" t="s">
        <v>55</v>
      </c>
      <c r="I340" s="15" t="s">
        <v>1230</v>
      </c>
      <c r="J340" s="15" t="s">
        <v>1231</v>
      </c>
      <c r="K340" s="5" t="s">
        <v>31</v>
      </c>
      <c r="L340" s="5" t="s">
        <v>31</v>
      </c>
      <c r="M340" s="305"/>
      <c r="N340" s="309"/>
      <c r="O340" s="309"/>
      <c r="P340" s="275" t="s">
        <v>2647</v>
      </c>
    </row>
    <row r="341" spans="1:16" ht="220.8">
      <c r="A341" s="23" t="s">
        <v>1143</v>
      </c>
      <c r="B341" s="3" t="s">
        <v>1144</v>
      </c>
      <c r="C341" s="3" t="s">
        <v>1216</v>
      </c>
      <c r="D341" s="7" t="s">
        <v>24</v>
      </c>
      <c r="E341" s="3">
        <v>2</v>
      </c>
      <c r="F341" s="4" t="s">
        <v>1232</v>
      </c>
      <c r="G341" s="4" t="s">
        <v>1233</v>
      </c>
      <c r="H341" s="11" t="s">
        <v>55</v>
      </c>
      <c r="I341" s="15" t="s">
        <v>1234</v>
      </c>
      <c r="J341" s="15" t="s">
        <v>1235</v>
      </c>
      <c r="K341" s="5" t="s">
        <v>31</v>
      </c>
      <c r="L341" s="5" t="s">
        <v>31</v>
      </c>
      <c r="M341" s="305"/>
      <c r="N341" s="309"/>
      <c r="O341" s="309"/>
      <c r="P341" s="275" t="s">
        <v>2647</v>
      </c>
    </row>
    <row r="342" spans="1:16" ht="165.6">
      <c r="A342" s="23" t="s">
        <v>1143</v>
      </c>
      <c r="B342" s="3" t="s">
        <v>1144</v>
      </c>
      <c r="C342" s="3" t="s">
        <v>1216</v>
      </c>
      <c r="D342" s="8" t="s">
        <v>40</v>
      </c>
      <c r="E342" s="3">
        <v>3</v>
      </c>
      <c r="F342" s="4" t="s">
        <v>1236</v>
      </c>
      <c r="G342" s="4" t="s">
        <v>1237</v>
      </c>
      <c r="H342" s="11" t="s">
        <v>55</v>
      </c>
      <c r="I342" s="15" t="s">
        <v>1238</v>
      </c>
      <c r="J342" s="15" t="s">
        <v>1239</v>
      </c>
      <c r="K342" s="5" t="s">
        <v>31</v>
      </c>
      <c r="L342" s="5" t="s">
        <v>31</v>
      </c>
      <c r="M342" s="305"/>
      <c r="N342" s="309"/>
      <c r="O342" s="309"/>
      <c r="P342" s="275" t="s">
        <v>2596</v>
      </c>
    </row>
    <row r="343" spans="1:16" ht="41.4">
      <c r="A343" s="23" t="s">
        <v>1143</v>
      </c>
      <c r="B343" s="3" t="s">
        <v>1144</v>
      </c>
      <c r="C343" s="3" t="s">
        <v>1216</v>
      </c>
      <c r="D343" s="8" t="s">
        <v>40</v>
      </c>
      <c r="E343" s="3">
        <v>3</v>
      </c>
      <c r="F343" s="4" t="s">
        <v>1240</v>
      </c>
      <c r="G343" s="2" t="s">
        <v>1241</v>
      </c>
      <c r="H343" s="11" t="s">
        <v>55</v>
      </c>
      <c r="I343" s="15" t="s">
        <v>1242</v>
      </c>
      <c r="J343" s="15" t="s">
        <v>1243</v>
      </c>
      <c r="K343" s="5" t="s">
        <v>31</v>
      </c>
      <c r="L343" s="5" t="s">
        <v>31</v>
      </c>
      <c r="M343" s="305"/>
      <c r="N343" s="309"/>
      <c r="O343" s="309"/>
      <c r="P343" s="275" t="s">
        <v>2596</v>
      </c>
    </row>
    <row r="344" spans="1:16" ht="372.6">
      <c r="A344" s="23" t="s">
        <v>1143</v>
      </c>
      <c r="B344" s="3" t="s">
        <v>1144</v>
      </c>
      <c r="C344" s="3" t="s">
        <v>1216</v>
      </c>
      <c r="D344" s="12" t="s">
        <v>48</v>
      </c>
      <c r="E344" s="3">
        <v>4</v>
      </c>
      <c r="F344" s="4" t="s">
        <v>1244</v>
      </c>
      <c r="G344" s="4" t="s">
        <v>1245</v>
      </c>
      <c r="H344" s="11" t="s">
        <v>21</v>
      </c>
      <c r="I344" s="15" t="s">
        <v>21</v>
      </c>
      <c r="J344" s="15" t="s">
        <v>1246</v>
      </c>
      <c r="K344" s="11" t="s">
        <v>21</v>
      </c>
      <c r="L344" s="5" t="s">
        <v>31</v>
      </c>
      <c r="M344" s="305"/>
      <c r="N344" s="309"/>
      <c r="O344" s="309"/>
      <c r="P344" s="275" t="s">
        <v>2596</v>
      </c>
    </row>
    <row r="345" spans="1:16" ht="96.6">
      <c r="A345" s="23" t="s">
        <v>1143</v>
      </c>
      <c r="B345" s="3" t="s">
        <v>1144</v>
      </c>
      <c r="C345" s="3" t="s">
        <v>1216</v>
      </c>
      <c r="D345" s="10" t="s">
        <v>52</v>
      </c>
      <c r="E345" s="3">
        <v>5</v>
      </c>
      <c r="F345" s="4" t="s">
        <v>1247</v>
      </c>
      <c r="G345" s="4" t="s">
        <v>1248</v>
      </c>
      <c r="H345" s="11" t="s">
        <v>21</v>
      </c>
      <c r="I345" s="15" t="s">
        <v>21</v>
      </c>
      <c r="J345" s="15" t="s">
        <v>1249</v>
      </c>
      <c r="K345" s="11" t="s">
        <v>21</v>
      </c>
      <c r="L345" s="5" t="s">
        <v>31</v>
      </c>
      <c r="M345" s="305"/>
      <c r="N345" s="309"/>
      <c r="O345" s="309"/>
      <c r="P345" s="275" t="s">
        <v>2596</v>
      </c>
    </row>
    <row r="346" spans="1:16" ht="27.6" hidden="1">
      <c r="A346" s="23" t="s">
        <v>1250</v>
      </c>
      <c r="B346" s="3" t="s">
        <v>1251</v>
      </c>
      <c r="C346" s="3" t="s">
        <v>1252</v>
      </c>
      <c r="D346" s="26" t="s">
        <v>18</v>
      </c>
      <c r="E346" s="3">
        <v>1</v>
      </c>
      <c r="F346" s="14" t="s">
        <v>1253</v>
      </c>
      <c r="G346" s="14" t="s">
        <v>1254</v>
      </c>
      <c r="H346" s="11" t="s">
        <v>21</v>
      </c>
      <c r="I346" s="15" t="s">
        <v>21</v>
      </c>
      <c r="J346" s="15" t="s">
        <v>1255</v>
      </c>
      <c r="K346" s="11" t="s">
        <v>21</v>
      </c>
      <c r="L346" s="5" t="s">
        <v>23</v>
      </c>
      <c r="M346" s="305"/>
      <c r="N346" s="309"/>
      <c r="O346" s="309" t="s">
        <v>2515</v>
      </c>
      <c r="P346" s="275" t="s">
        <v>2593</v>
      </c>
    </row>
    <row r="347" spans="1:16" ht="96.6" hidden="1">
      <c r="A347" s="23" t="s">
        <v>1250</v>
      </c>
      <c r="B347" s="3" t="s">
        <v>1251</v>
      </c>
      <c r="C347" s="3" t="s">
        <v>1252</v>
      </c>
      <c r="D347" s="7" t="s">
        <v>24</v>
      </c>
      <c r="E347" s="3">
        <v>2</v>
      </c>
      <c r="F347" s="1" t="s">
        <v>1256</v>
      </c>
      <c r="G347" s="4" t="s">
        <v>1257</v>
      </c>
      <c r="H347" s="11" t="s">
        <v>27</v>
      </c>
      <c r="I347" s="15" t="s">
        <v>1258</v>
      </c>
      <c r="J347" s="15" t="s">
        <v>1259</v>
      </c>
      <c r="K347" s="5" t="s">
        <v>23</v>
      </c>
      <c r="L347" s="5" t="s">
        <v>23</v>
      </c>
      <c r="M347" s="305"/>
      <c r="N347" s="310"/>
      <c r="O347" s="309" t="s">
        <v>2516</v>
      </c>
      <c r="P347" s="275" t="s">
        <v>2593</v>
      </c>
    </row>
    <row r="348" spans="1:16" ht="138" hidden="1">
      <c r="A348" s="23" t="s">
        <v>1250</v>
      </c>
      <c r="B348" s="3" t="s">
        <v>1251</v>
      </c>
      <c r="C348" s="3" t="s">
        <v>1252</v>
      </c>
      <c r="D348" s="8" t="s">
        <v>40</v>
      </c>
      <c r="E348" s="3">
        <v>3</v>
      </c>
      <c r="F348" s="2" t="s">
        <v>1260</v>
      </c>
      <c r="G348" s="2" t="s">
        <v>1261</v>
      </c>
      <c r="H348" s="11" t="s">
        <v>21</v>
      </c>
      <c r="I348" s="15" t="s">
        <v>21</v>
      </c>
      <c r="J348" s="15" t="s">
        <v>1262</v>
      </c>
      <c r="K348" s="11" t="s">
        <v>21</v>
      </c>
      <c r="L348" s="5" t="s">
        <v>31</v>
      </c>
      <c r="M348" s="305"/>
      <c r="N348" s="309" t="s">
        <v>2565</v>
      </c>
      <c r="O348" s="309" t="s">
        <v>1252</v>
      </c>
      <c r="P348" s="275" t="s">
        <v>2595</v>
      </c>
    </row>
    <row r="349" spans="1:16" ht="136.80000000000001" hidden="1" customHeight="1">
      <c r="A349" s="23" t="s">
        <v>1250</v>
      </c>
      <c r="B349" s="3" t="s">
        <v>1251</v>
      </c>
      <c r="C349" s="3" t="s">
        <v>1252</v>
      </c>
      <c r="D349" s="8" t="s">
        <v>40</v>
      </c>
      <c r="E349" s="3">
        <v>3</v>
      </c>
      <c r="F349" s="2" t="s">
        <v>1263</v>
      </c>
      <c r="G349" s="2" t="s">
        <v>1264</v>
      </c>
      <c r="H349" s="11" t="s">
        <v>21</v>
      </c>
      <c r="I349" s="15" t="s">
        <v>21</v>
      </c>
      <c r="J349" s="15" t="s">
        <v>1265</v>
      </c>
      <c r="K349" s="11" t="s">
        <v>21</v>
      </c>
      <c r="L349" s="5" t="s">
        <v>31</v>
      </c>
      <c r="M349" s="305"/>
      <c r="N349" s="309" t="s">
        <v>2564</v>
      </c>
      <c r="O349" s="309" t="s">
        <v>2563</v>
      </c>
      <c r="P349" s="275" t="s">
        <v>2595</v>
      </c>
    </row>
    <row r="350" spans="1:16" ht="399" hidden="1" customHeight="1">
      <c r="A350" s="23" t="s">
        <v>1250</v>
      </c>
      <c r="B350" s="3" t="s">
        <v>1251</v>
      </c>
      <c r="C350" s="3" t="s">
        <v>1252</v>
      </c>
      <c r="D350" s="12" t="s">
        <v>48</v>
      </c>
      <c r="E350" s="3">
        <v>4</v>
      </c>
      <c r="F350" s="1" t="s">
        <v>1266</v>
      </c>
      <c r="G350" s="4" t="s">
        <v>1267</v>
      </c>
      <c r="H350" s="11" t="s">
        <v>21</v>
      </c>
      <c r="I350" s="15" t="s">
        <v>21</v>
      </c>
      <c r="J350" s="15" t="s">
        <v>1268</v>
      </c>
      <c r="K350" s="11" t="s">
        <v>21</v>
      </c>
      <c r="L350" s="5" t="s">
        <v>31</v>
      </c>
      <c r="M350" s="305"/>
      <c r="N350" s="309"/>
      <c r="O350" s="309"/>
      <c r="P350" s="275" t="s">
        <v>2595</v>
      </c>
    </row>
    <row r="351" spans="1:16" ht="151.94999999999999" hidden="1" customHeight="1">
      <c r="A351" s="23" t="s">
        <v>1250</v>
      </c>
      <c r="B351" s="3" t="s">
        <v>1251</v>
      </c>
      <c r="C351" s="3" t="s">
        <v>1252</v>
      </c>
      <c r="D351" s="10" t="s">
        <v>52</v>
      </c>
      <c r="E351" s="3">
        <v>5</v>
      </c>
      <c r="F351" s="13" t="s">
        <v>1269</v>
      </c>
      <c r="G351" s="4" t="s">
        <v>1270</v>
      </c>
      <c r="H351" s="11" t="s">
        <v>21</v>
      </c>
      <c r="I351" s="15" t="s">
        <v>21</v>
      </c>
      <c r="J351" s="15" t="s">
        <v>1271</v>
      </c>
      <c r="K351" s="11" t="s">
        <v>21</v>
      </c>
      <c r="L351" s="5" t="s">
        <v>31</v>
      </c>
      <c r="M351" s="305"/>
      <c r="N351" s="309"/>
      <c r="O351" s="309"/>
      <c r="P351" s="275" t="s">
        <v>2595</v>
      </c>
    </row>
    <row r="352" spans="1:16" ht="128.55000000000001" hidden="1" customHeight="1">
      <c r="A352" s="23" t="s">
        <v>1250</v>
      </c>
      <c r="B352" s="3" t="s">
        <v>1251</v>
      </c>
      <c r="C352" s="3" t="s">
        <v>1272</v>
      </c>
      <c r="D352" s="27" t="s">
        <v>18</v>
      </c>
      <c r="E352" s="3">
        <v>1</v>
      </c>
      <c r="F352" s="1" t="s">
        <v>1273</v>
      </c>
      <c r="G352" s="4" t="s">
        <v>1274</v>
      </c>
      <c r="H352" s="11" t="s">
        <v>21</v>
      </c>
      <c r="I352" s="15" t="s">
        <v>21</v>
      </c>
      <c r="J352" s="15" t="s">
        <v>1275</v>
      </c>
      <c r="K352" s="11" t="s">
        <v>21</v>
      </c>
      <c r="L352" s="5" t="s">
        <v>2572</v>
      </c>
      <c r="M352" s="305"/>
      <c r="N352" s="309" t="s">
        <v>2627</v>
      </c>
      <c r="O352" s="309" t="s">
        <v>2516</v>
      </c>
      <c r="P352" s="275" t="s">
        <v>2593</v>
      </c>
    </row>
    <row r="353" spans="1:16" ht="322.95" hidden="1" customHeight="1">
      <c r="A353" s="23" t="s">
        <v>1250</v>
      </c>
      <c r="B353" s="3" t="s">
        <v>1251</v>
      </c>
      <c r="C353" s="3" t="s">
        <v>1272</v>
      </c>
      <c r="D353" s="7" t="s">
        <v>24</v>
      </c>
      <c r="E353" s="3">
        <v>2</v>
      </c>
      <c r="F353" s="1" t="s">
        <v>1276</v>
      </c>
      <c r="G353" s="4" t="s">
        <v>1277</v>
      </c>
      <c r="H353" s="11" t="s">
        <v>21</v>
      </c>
      <c r="I353" s="15" t="s">
        <v>21</v>
      </c>
      <c r="J353" s="15" t="s">
        <v>1278</v>
      </c>
      <c r="K353" s="11" t="s">
        <v>21</v>
      </c>
      <c r="L353" s="5" t="s">
        <v>2572</v>
      </c>
      <c r="M353" s="305"/>
      <c r="N353" s="309" t="s">
        <v>2627</v>
      </c>
      <c r="O353" s="309" t="s">
        <v>2566</v>
      </c>
      <c r="P353" s="275" t="s">
        <v>2593</v>
      </c>
    </row>
    <row r="354" spans="1:16" ht="204" hidden="1" customHeight="1">
      <c r="A354" s="23" t="s">
        <v>1250</v>
      </c>
      <c r="B354" s="3" t="s">
        <v>1251</v>
      </c>
      <c r="C354" s="3" t="s">
        <v>1272</v>
      </c>
      <c r="D354" s="7" t="s">
        <v>24</v>
      </c>
      <c r="E354" s="3">
        <v>2</v>
      </c>
      <c r="F354" s="1" t="s">
        <v>1279</v>
      </c>
      <c r="G354" s="4" t="s">
        <v>1280</v>
      </c>
      <c r="H354" s="11" t="s">
        <v>27</v>
      </c>
      <c r="I354" s="15" t="s">
        <v>1281</v>
      </c>
      <c r="J354" s="15" t="s">
        <v>1282</v>
      </c>
      <c r="K354" s="5" t="s">
        <v>30</v>
      </c>
      <c r="L354" s="5" t="s">
        <v>23</v>
      </c>
      <c r="M354" s="305">
        <v>1</v>
      </c>
      <c r="N354" s="309" t="s">
        <v>2604</v>
      </c>
      <c r="O354" s="309" t="s">
        <v>2566</v>
      </c>
      <c r="P354" s="275" t="s">
        <v>2593</v>
      </c>
    </row>
    <row r="355" spans="1:16" ht="124.2" hidden="1">
      <c r="A355" s="23" t="s">
        <v>1250</v>
      </c>
      <c r="B355" s="3" t="s">
        <v>1251</v>
      </c>
      <c r="C355" s="3" t="s">
        <v>1272</v>
      </c>
      <c r="D355" s="7" t="s">
        <v>24</v>
      </c>
      <c r="E355" s="3">
        <v>2</v>
      </c>
      <c r="F355" s="13" t="s">
        <v>1283</v>
      </c>
      <c r="G355" s="4" t="s">
        <v>1284</v>
      </c>
      <c r="H355" s="11" t="s">
        <v>27</v>
      </c>
      <c r="I355" s="15" t="s">
        <v>1281</v>
      </c>
      <c r="J355" s="15" t="s">
        <v>1285</v>
      </c>
      <c r="K355" s="5" t="s">
        <v>30</v>
      </c>
      <c r="L355" s="5" t="s">
        <v>31</v>
      </c>
      <c r="M355" s="305">
        <v>1</v>
      </c>
      <c r="N355" s="309"/>
      <c r="O355" s="309"/>
      <c r="P355" s="275" t="s">
        <v>2593</v>
      </c>
    </row>
    <row r="356" spans="1:16" ht="193.2" hidden="1">
      <c r="A356" s="23" t="s">
        <v>1250</v>
      </c>
      <c r="B356" s="3" t="s">
        <v>1251</v>
      </c>
      <c r="C356" s="3" t="s">
        <v>1272</v>
      </c>
      <c r="D356" s="28" t="s">
        <v>24</v>
      </c>
      <c r="E356" s="3">
        <v>2</v>
      </c>
      <c r="F356" s="13" t="s">
        <v>1286</v>
      </c>
      <c r="G356" s="4" t="s">
        <v>1287</v>
      </c>
      <c r="H356" s="11" t="s">
        <v>27</v>
      </c>
      <c r="I356" s="15" t="s">
        <v>1288</v>
      </c>
      <c r="J356" s="15" t="s">
        <v>1289</v>
      </c>
      <c r="K356" s="5" t="s">
        <v>31</v>
      </c>
      <c r="L356" s="5" t="s">
        <v>31</v>
      </c>
      <c r="M356" s="305"/>
      <c r="N356" s="309"/>
      <c r="O356" s="309"/>
      <c r="P356" s="275" t="s">
        <v>2593</v>
      </c>
    </row>
    <row r="357" spans="1:16" ht="303.60000000000002" hidden="1">
      <c r="A357" s="23" t="s">
        <v>1250</v>
      </c>
      <c r="B357" s="3" t="s">
        <v>1251</v>
      </c>
      <c r="C357" s="3" t="s">
        <v>1272</v>
      </c>
      <c r="D357" s="7" t="s">
        <v>24</v>
      </c>
      <c r="E357" s="3">
        <v>2</v>
      </c>
      <c r="F357" s="13" t="s">
        <v>1290</v>
      </c>
      <c r="G357" s="4" t="s">
        <v>1291</v>
      </c>
      <c r="H357" s="11" t="s">
        <v>27</v>
      </c>
      <c r="I357" s="15" t="s">
        <v>1292</v>
      </c>
      <c r="J357" s="15" t="s">
        <v>1293</v>
      </c>
      <c r="K357" s="5" t="s">
        <v>31</v>
      </c>
      <c r="L357" s="5" t="s">
        <v>31</v>
      </c>
      <c r="M357" s="305"/>
      <c r="N357" s="309"/>
      <c r="O357" s="309"/>
      <c r="P357" s="275" t="s">
        <v>2593</v>
      </c>
    </row>
    <row r="358" spans="1:16" ht="123" hidden="1" customHeight="1">
      <c r="A358" s="23" t="s">
        <v>1250</v>
      </c>
      <c r="B358" s="3" t="s">
        <v>1251</v>
      </c>
      <c r="C358" s="3" t="s">
        <v>1272</v>
      </c>
      <c r="D358" s="7" t="s">
        <v>24</v>
      </c>
      <c r="E358" s="3">
        <v>2</v>
      </c>
      <c r="F358" s="14" t="s">
        <v>1294</v>
      </c>
      <c r="G358" s="4" t="s">
        <v>1295</v>
      </c>
      <c r="H358" s="11" t="s">
        <v>21</v>
      </c>
      <c r="I358" s="15" t="s">
        <v>21</v>
      </c>
      <c r="J358" s="15" t="s">
        <v>1296</v>
      </c>
      <c r="K358" s="11" t="s">
        <v>21</v>
      </c>
      <c r="L358" s="5" t="s">
        <v>31</v>
      </c>
      <c r="M358" s="305"/>
      <c r="N358" s="309"/>
      <c r="O358" s="309"/>
      <c r="P358" s="275" t="s">
        <v>2593</v>
      </c>
    </row>
    <row r="359" spans="1:16" ht="151.80000000000001" hidden="1">
      <c r="A359" s="23" t="s">
        <v>1250</v>
      </c>
      <c r="B359" s="3" t="s">
        <v>1251</v>
      </c>
      <c r="C359" s="3" t="s">
        <v>1272</v>
      </c>
      <c r="D359" s="7" t="s">
        <v>24</v>
      </c>
      <c r="E359" s="3">
        <v>2</v>
      </c>
      <c r="F359" s="1" t="s">
        <v>1297</v>
      </c>
      <c r="G359" s="4" t="s">
        <v>1298</v>
      </c>
      <c r="H359" s="11" t="s">
        <v>55</v>
      </c>
      <c r="I359" s="15" t="s">
        <v>1299</v>
      </c>
      <c r="J359" s="15" t="s">
        <v>1300</v>
      </c>
      <c r="K359" s="5" t="s">
        <v>31</v>
      </c>
      <c r="L359" s="5" t="s">
        <v>31</v>
      </c>
      <c r="M359" s="305"/>
      <c r="N359" s="309"/>
      <c r="O359" s="309"/>
      <c r="P359" s="275" t="s">
        <v>2593</v>
      </c>
    </row>
    <row r="360" spans="1:16" ht="163.5" hidden="1" customHeight="1">
      <c r="A360" s="23" t="s">
        <v>1250</v>
      </c>
      <c r="B360" s="3" t="s">
        <v>1251</v>
      </c>
      <c r="C360" s="3" t="s">
        <v>1272</v>
      </c>
      <c r="D360" s="29" t="s">
        <v>40</v>
      </c>
      <c r="E360" s="3">
        <v>3</v>
      </c>
      <c r="F360" s="13" t="s">
        <v>1301</v>
      </c>
      <c r="G360" s="4" t="s">
        <v>1302</v>
      </c>
      <c r="H360" s="11" t="s">
        <v>21</v>
      </c>
      <c r="I360" s="15" t="s">
        <v>21</v>
      </c>
      <c r="J360" s="15" t="s">
        <v>1303</v>
      </c>
      <c r="K360" s="11" t="s">
        <v>21</v>
      </c>
      <c r="L360" s="5" t="s">
        <v>31</v>
      </c>
      <c r="M360" s="305"/>
      <c r="N360" s="309"/>
      <c r="O360" s="309"/>
      <c r="P360" s="275" t="s">
        <v>2593</v>
      </c>
    </row>
    <row r="361" spans="1:16" ht="139.05000000000001" hidden="1" customHeight="1">
      <c r="A361" s="23" t="s">
        <v>1250</v>
      </c>
      <c r="B361" s="3" t="s">
        <v>1251</v>
      </c>
      <c r="C361" s="3" t="s">
        <v>1272</v>
      </c>
      <c r="D361" s="29" t="s">
        <v>40</v>
      </c>
      <c r="E361" s="3">
        <v>3</v>
      </c>
      <c r="F361" s="13" t="s">
        <v>1304</v>
      </c>
      <c r="G361" s="4" t="s">
        <v>1305</v>
      </c>
      <c r="H361" s="11" t="s">
        <v>181</v>
      </c>
      <c r="I361" s="15" t="s">
        <v>1306</v>
      </c>
      <c r="J361" s="15" t="s">
        <v>1307</v>
      </c>
      <c r="K361" s="5" t="s">
        <v>31</v>
      </c>
      <c r="L361" s="5" t="s">
        <v>31</v>
      </c>
      <c r="M361" s="305"/>
      <c r="N361" s="309"/>
      <c r="O361" s="309"/>
      <c r="P361" s="275" t="s">
        <v>2593</v>
      </c>
    </row>
    <row r="362" spans="1:16" ht="174" hidden="1" customHeight="1">
      <c r="A362" s="23" t="s">
        <v>1250</v>
      </c>
      <c r="B362" s="3" t="s">
        <v>1251</v>
      </c>
      <c r="C362" s="3" t="s">
        <v>1272</v>
      </c>
      <c r="D362" s="29" t="s">
        <v>40</v>
      </c>
      <c r="E362" s="3">
        <v>3</v>
      </c>
      <c r="F362" s="14" t="s">
        <v>1308</v>
      </c>
      <c r="G362" s="4" t="s">
        <v>1309</v>
      </c>
      <c r="H362" s="11" t="s">
        <v>21</v>
      </c>
      <c r="I362" s="15" t="s">
        <v>21</v>
      </c>
      <c r="J362" s="15" t="s">
        <v>1310</v>
      </c>
      <c r="K362" s="11" t="s">
        <v>21</v>
      </c>
      <c r="L362" s="5" t="s">
        <v>31</v>
      </c>
      <c r="M362" s="305"/>
      <c r="N362" s="309"/>
      <c r="O362" s="309"/>
      <c r="P362" s="275" t="s">
        <v>2593</v>
      </c>
    </row>
    <row r="363" spans="1:16" ht="409.6" hidden="1">
      <c r="A363" s="23" t="s">
        <v>1250</v>
      </c>
      <c r="B363" s="3" t="s">
        <v>1251</v>
      </c>
      <c r="C363" s="3" t="s">
        <v>1272</v>
      </c>
      <c r="D363" s="30" t="s">
        <v>48</v>
      </c>
      <c r="E363" s="3">
        <v>4</v>
      </c>
      <c r="F363" s="13" t="s">
        <v>1311</v>
      </c>
      <c r="G363" s="4" t="s">
        <v>1312</v>
      </c>
      <c r="H363" s="11" t="s">
        <v>55</v>
      </c>
      <c r="I363" s="15" t="s">
        <v>1313</v>
      </c>
      <c r="J363" s="15" t="s">
        <v>1314</v>
      </c>
      <c r="K363" s="5" t="s">
        <v>31</v>
      </c>
      <c r="L363" s="5" t="s">
        <v>31</v>
      </c>
      <c r="M363" s="305">
        <v>1</v>
      </c>
      <c r="N363" s="309"/>
      <c r="O363" s="309"/>
      <c r="P363" s="275" t="s">
        <v>2595</v>
      </c>
    </row>
    <row r="364" spans="1:16" ht="193.2" hidden="1">
      <c r="A364" s="23" t="s">
        <v>1250</v>
      </c>
      <c r="B364" s="3" t="s">
        <v>1251</v>
      </c>
      <c r="C364" s="3" t="s">
        <v>1272</v>
      </c>
      <c r="D364" s="31" t="s">
        <v>52</v>
      </c>
      <c r="E364" s="3">
        <v>5</v>
      </c>
      <c r="F364" s="1" t="s">
        <v>1315</v>
      </c>
      <c r="G364" s="4" t="s">
        <v>1316</v>
      </c>
      <c r="H364" s="11" t="s">
        <v>21</v>
      </c>
      <c r="I364" s="15" t="s">
        <v>21</v>
      </c>
      <c r="J364" s="15" t="s">
        <v>1317</v>
      </c>
      <c r="K364" s="11" t="s">
        <v>21</v>
      </c>
      <c r="L364" s="5" t="s">
        <v>31</v>
      </c>
      <c r="M364" s="305"/>
      <c r="N364" s="309"/>
      <c r="O364" s="309"/>
      <c r="P364" s="275" t="s">
        <v>2593</v>
      </c>
    </row>
    <row r="365" spans="1:16" ht="92.55" hidden="1" customHeight="1">
      <c r="A365" s="23" t="s">
        <v>1250</v>
      </c>
      <c r="B365" s="3" t="s">
        <v>1251</v>
      </c>
      <c r="C365" s="3" t="s">
        <v>1272</v>
      </c>
      <c r="D365" s="31" t="s">
        <v>52</v>
      </c>
      <c r="E365" s="3">
        <v>5</v>
      </c>
      <c r="F365" s="13" t="s">
        <v>1318</v>
      </c>
      <c r="G365" s="4" t="s">
        <v>1319</v>
      </c>
      <c r="H365" s="11" t="s">
        <v>21</v>
      </c>
      <c r="I365" s="15" t="s">
        <v>21</v>
      </c>
      <c r="J365" s="15" t="s">
        <v>1320</v>
      </c>
      <c r="K365" s="11" t="s">
        <v>21</v>
      </c>
      <c r="L365" s="5" t="s">
        <v>31</v>
      </c>
      <c r="M365" s="305"/>
      <c r="N365" s="309"/>
      <c r="O365" s="309"/>
      <c r="P365" s="275" t="s">
        <v>2593</v>
      </c>
    </row>
    <row r="366" spans="1:16" ht="71.55" hidden="1" customHeight="1">
      <c r="A366" s="23" t="s">
        <v>1250</v>
      </c>
      <c r="B366" s="3" t="s">
        <v>1251</v>
      </c>
      <c r="C366" s="3" t="s">
        <v>1321</v>
      </c>
      <c r="D366" s="27" t="s">
        <v>18</v>
      </c>
      <c r="E366" s="3">
        <v>1</v>
      </c>
      <c r="F366" s="13" t="s">
        <v>1322</v>
      </c>
      <c r="G366" s="4" t="s">
        <v>1323</v>
      </c>
      <c r="H366" s="11" t="s">
        <v>21</v>
      </c>
      <c r="I366" s="15" t="s">
        <v>21</v>
      </c>
      <c r="J366" s="15" t="s">
        <v>1324</v>
      </c>
      <c r="K366" s="11" t="s">
        <v>21</v>
      </c>
      <c r="L366" s="5" t="s">
        <v>31</v>
      </c>
      <c r="M366" s="305"/>
      <c r="N366" s="309" t="s">
        <v>2568</v>
      </c>
      <c r="O366" s="313" t="s">
        <v>1321</v>
      </c>
      <c r="P366" s="275" t="s">
        <v>2593</v>
      </c>
    </row>
    <row r="367" spans="1:16" ht="92.55" hidden="1" customHeight="1">
      <c r="A367" s="23" t="s">
        <v>1250</v>
      </c>
      <c r="B367" s="3" t="s">
        <v>1251</v>
      </c>
      <c r="C367" s="3" t="s">
        <v>1321</v>
      </c>
      <c r="D367" s="27" t="s">
        <v>18</v>
      </c>
      <c r="E367" s="3">
        <v>1</v>
      </c>
      <c r="F367" s="1" t="s">
        <v>1325</v>
      </c>
      <c r="G367" s="24" t="s">
        <v>1326</v>
      </c>
      <c r="H367" s="11" t="s">
        <v>21</v>
      </c>
      <c r="I367" s="15" t="s">
        <v>21</v>
      </c>
      <c r="J367" s="15" t="s">
        <v>1327</v>
      </c>
      <c r="K367" s="11" t="s">
        <v>21</v>
      </c>
      <c r="L367" s="5" t="s">
        <v>23</v>
      </c>
      <c r="M367" s="305"/>
      <c r="N367" s="309"/>
      <c r="O367" s="275" t="s">
        <v>2566</v>
      </c>
      <c r="P367" s="275" t="s">
        <v>2593</v>
      </c>
    </row>
    <row r="368" spans="1:16" ht="110.4" hidden="1">
      <c r="A368" s="23" t="s">
        <v>1250</v>
      </c>
      <c r="B368" s="3" t="s">
        <v>1251</v>
      </c>
      <c r="C368" s="3" t="s">
        <v>1321</v>
      </c>
      <c r="D368" s="32" t="s">
        <v>24</v>
      </c>
      <c r="E368" s="3">
        <v>2</v>
      </c>
      <c r="F368" s="2" t="s">
        <v>1328</v>
      </c>
      <c r="G368" s="25" t="s">
        <v>1329</v>
      </c>
      <c r="H368" s="11" t="s">
        <v>21</v>
      </c>
      <c r="I368" s="15" t="s">
        <v>21</v>
      </c>
      <c r="J368" s="15" t="s">
        <v>1330</v>
      </c>
      <c r="K368" s="11" t="s">
        <v>21</v>
      </c>
      <c r="L368" s="5" t="s">
        <v>31</v>
      </c>
      <c r="M368" s="305"/>
      <c r="N368" s="309"/>
      <c r="O368" s="309"/>
      <c r="P368" s="275" t="s">
        <v>2593</v>
      </c>
    </row>
    <row r="369" spans="1:16" ht="241.05" hidden="1" customHeight="1">
      <c r="A369" s="23" t="s">
        <v>1250</v>
      </c>
      <c r="B369" s="3" t="s">
        <v>1251</v>
      </c>
      <c r="C369" s="3" t="s">
        <v>1321</v>
      </c>
      <c r="D369" s="32" t="s">
        <v>24</v>
      </c>
      <c r="E369" s="3">
        <v>2</v>
      </c>
      <c r="F369" s="1" t="s">
        <v>1331</v>
      </c>
      <c r="G369" s="25" t="s">
        <v>1332</v>
      </c>
      <c r="H369" s="11" t="s">
        <v>21</v>
      </c>
      <c r="I369" s="15" t="s">
        <v>21</v>
      </c>
      <c r="J369" s="15" t="s">
        <v>1333</v>
      </c>
      <c r="K369" s="11" t="s">
        <v>21</v>
      </c>
      <c r="L369" s="5" t="s">
        <v>31</v>
      </c>
      <c r="M369" s="305"/>
      <c r="N369" s="309"/>
      <c r="O369" s="309"/>
      <c r="P369" s="275" t="s">
        <v>2593</v>
      </c>
    </row>
    <row r="370" spans="1:16" ht="221.55" hidden="1" customHeight="1">
      <c r="A370" s="23" t="s">
        <v>1250</v>
      </c>
      <c r="B370" s="3" t="s">
        <v>1251</v>
      </c>
      <c r="C370" s="3" t="s">
        <v>1321</v>
      </c>
      <c r="D370" s="32" t="s">
        <v>24</v>
      </c>
      <c r="E370" s="3">
        <v>2</v>
      </c>
      <c r="F370" s="1" t="s">
        <v>1334</v>
      </c>
      <c r="G370" s="24" t="s">
        <v>1335</v>
      </c>
      <c r="H370" s="11" t="s">
        <v>21</v>
      </c>
      <c r="I370" s="15" t="s">
        <v>21</v>
      </c>
      <c r="J370" s="15" t="s">
        <v>1336</v>
      </c>
      <c r="K370" s="11" t="s">
        <v>21</v>
      </c>
      <c r="L370" s="5" t="s">
        <v>31</v>
      </c>
      <c r="M370" s="305"/>
      <c r="N370" s="309"/>
      <c r="O370" s="309"/>
      <c r="P370" s="275" t="s">
        <v>2593</v>
      </c>
    </row>
    <row r="371" spans="1:16" ht="333" hidden="1" customHeight="1">
      <c r="A371" s="23" t="s">
        <v>1250</v>
      </c>
      <c r="B371" s="3" t="s">
        <v>1251</v>
      </c>
      <c r="C371" s="3" t="s">
        <v>1321</v>
      </c>
      <c r="D371" s="32" t="s">
        <v>24</v>
      </c>
      <c r="E371" s="3">
        <v>2</v>
      </c>
      <c r="F371" s="1" t="s">
        <v>1337</v>
      </c>
      <c r="G371" s="25" t="s">
        <v>1338</v>
      </c>
      <c r="H371" s="11" t="s">
        <v>21</v>
      </c>
      <c r="I371" s="15" t="s">
        <v>21</v>
      </c>
      <c r="J371" s="15" t="s">
        <v>1339</v>
      </c>
      <c r="K371" s="11" t="s">
        <v>21</v>
      </c>
      <c r="L371" s="5" t="s">
        <v>31</v>
      </c>
      <c r="M371" s="305"/>
      <c r="N371" s="309"/>
      <c r="O371" s="309"/>
      <c r="P371" s="275" t="s">
        <v>2593</v>
      </c>
    </row>
    <row r="372" spans="1:16" ht="267.45" hidden="1" customHeight="1">
      <c r="A372" s="23" t="s">
        <v>1250</v>
      </c>
      <c r="B372" s="3" t="s">
        <v>1251</v>
      </c>
      <c r="C372" s="3" t="s">
        <v>1321</v>
      </c>
      <c r="D372" s="32" t="s">
        <v>24</v>
      </c>
      <c r="E372" s="3">
        <v>2</v>
      </c>
      <c r="F372" s="1" t="s">
        <v>1340</v>
      </c>
      <c r="G372" s="25" t="s">
        <v>1341</v>
      </c>
      <c r="H372" s="11" t="s">
        <v>21</v>
      </c>
      <c r="I372" s="15" t="s">
        <v>21</v>
      </c>
      <c r="J372" s="15" t="s">
        <v>1342</v>
      </c>
      <c r="K372" s="11" t="s">
        <v>21</v>
      </c>
      <c r="L372" s="5" t="s">
        <v>31</v>
      </c>
      <c r="M372" s="305"/>
      <c r="N372" s="309"/>
      <c r="O372" s="309"/>
      <c r="P372" s="275" t="s">
        <v>2593</v>
      </c>
    </row>
    <row r="373" spans="1:16" ht="211.5" hidden="1" customHeight="1">
      <c r="A373" s="23" t="s">
        <v>1250</v>
      </c>
      <c r="B373" s="3" t="s">
        <v>1251</v>
      </c>
      <c r="C373" s="3" t="s">
        <v>1321</v>
      </c>
      <c r="D373" s="32" t="s">
        <v>24</v>
      </c>
      <c r="E373" s="3">
        <v>2</v>
      </c>
      <c r="F373" s="1" t="s">
        <v>1343</v>
      </c>
      <c r="G373" s="4" t="s">
        <v>1344</v>
      </c>
      <c r="H373" s="11" t="s">
        <v>55</v>
      </c>
      <c r="I373" s="15" t="s">
        <v>1345</v>
      </c>
      <c r="J373" s="15" t="s">
        <v>1346</v>
      </c>
      <c r="K373" s="5" t="s">
        <v>31</v>
      </c>
      <c r="L373" s="5" t="s">
        <v>31</v>
      </c>
      <c r="M373" s="305"/>
      <c r="N373" s="309"/>
      <c r="O373" s="309"/>
      <c r="P373" s="275" t="s">
        <v>2593</v>
      </c>
    </row>
    <row r="374" spans="1:16" ht="220.8" hidden="1">
      <c r="A374" s="23" t="s">
        <v>1250</v>
      </c>
      <c r="B374" s="3" t="s">
        <v>1251</v>
      </c>
      <c r="C374" s="3" t="s">
        <v>1321</v>
      </c>
      <c r="D374" s="32" t="s">
        <v>24</v>
      </c>
      <c r="E374" s="3">
        <v>2</v>
      </c>
      <c r="F374" s="1" t="s">
        <v>1347</v>
      </c>
      <c r="G374" s="4" t="s">
        <v>1348</v>
      </c>
      <c r="H374" s="11" t="s">
        <v>55</v>
      </c>
      <c r="I374" s="15" t="s">
        <v>1349</v>
      </c>
      <c r="J374" s="15" t="s">
        <v>1350</v>
      </c>
      <c r="K374" s="5" t="s">
        <v>30</v>
      </c>
      <c r="L374" s="5" t="s">
        <v>2572</v>
      </c>
      <c r="M374" s="305"/>
      <c r="N374" s="309" t="s">
        <v>2582</v>
      </c>
      <c r="O374" s="309"/>
      <c r="P374" s="275" t="s">
        <v>2593</v>
      </c>
    </row>
    <row r="375" spans="1:16" ht="165.45" hidden="1" customHeight="1">
      <c r="A375" s="23" t="s">
        <v>1250</v>
      </c>
      <c r="B375" s="3" t="s">
        <v>1251</v>
      </c>
      <c r="C375" s="3" t="s">
        <v>1321</v>
      </c>
      <c r="D375" s="32" t="s">
        <v>24</v>
      </c>
      <c r="E375" s="3">
        <v>2</v>
      </c>
      <c r="F375" s="1" t="s">
        <v>1351</v>
      </c>
      <c r="G375" s="4" t="s">
        <v>1352</v>
      </c>
      <c r="H375" s="11" t="s">
        <v>21</v>
      </c>
      <c r="I375" s="15" t="s">
        <v>21</v>
      </c>
      <c r="J375" s="15" t="s">
        <v>1353</v>
      </c>
      <c r="K375" s="11" t="s">
        <v>21</v>
      </c>
      <c r="L375" s="5" t="s">
        <v>31</v>
      </c>
      <c r="M375" s="305"/>
      <c r="N375" s="309"/>
      <c r="O375" s="309"/>
      <c r="P375" s="275" t="s">
        <v>2593</v>
      </c>
    </row>
    <row r="376" spans="1:16" ht="184.5" hidden="1" customHeight="1">
      <c r="A376" s="23" t="s">
        <v>1250</v>
      </c>
      <c r="B376" s="3" t="s">
        <v>1251</v>
      </c>
      <c r="C376" s="3" t="s">
        <v>1321</v>
      </c>
      <c r="D376" s="33" t="s">
        <v>40</v>
      </c>
      <c r="E376" s="3">
        <v>3</v>
      </c>
      <c r="F376" s="1" t="s">
        <v>1354</v>
      </c>
      <c r="G376" s="4" t="s">
        <v>1355</v>
      </c>
      <c r="H376" s="11" t="s">
        <v>21</v>
      </c>
      <c r="I376" s="15" t="s">
        <v>21</v>
      </c>
      <c r="J376" s="15" t="s">
        <v>1356</v>
      </c>
      <c r="K376" s="11" t="s">
        <v>21</v>
      </c>
      <c r="L376" s="5" t="s">
        <v>31</v>
      </c>
      <c r="M376" s="305"/>
      <c r="N376" s="309"/>
      <c r="O376" s="309"/>
      <c r="P376" s="275" t="s">
        <v>2593</v>
      </c>
    </row>
    <row r="377" spans="1:16" ht="145.5" hidden="1" customHeight="1">
      <c r="A377" s="23" t="s">
        <v>1250</v>
      </c>
      <c r="B377" s="3" t="s">
        <v>1251</v>
      </c>
      <c r="C377" s="3" t="s">
        <v>1321</v>
      </c>
      <c r="D377" s="33" t="s">
        <v>40</v>
      </c>
      <c r="E377" s="3">
        <v>3</v>
      </c>
      <c r="F377" s="1" t="s">
        <v>1357</v>
      </c>
      <c r="G377" s="4" t="s">
        <v>1358</v>
      </c>
      <c r="H377" s="11" t="s">
        <v>55</v>
      </c>
      <c r="I377" s="15" t="s">
        <v>1359</v>
      </c>
      <c r="J377" s="15" t="s">
        <v>1360</v>
      </c>
      <c r="K377" s="5" t="s">
        <v>23</v>
      </c>
      <c r="L377" s="5" t="s">
        <v>31</v>
      </c>
      <c r="M377" s="305"/>
      <c r="N377" s="309" t="s">
        <v>2605</v>
      </c>
      <c r="O377" s="309"/>
      <c r="P377" s="275" t="s">
        <v>2593</v>
      </c>
    </row>
    <row r="378" spans="1:16" ht="105" hidden="1" customHeight="1">
      <c r="A378" s="23" t="s">
        <v>1250</v>
      </c>
      <c r="B378" s="3" t="s">
        <v>1251</v>
      </c>
      <c r="C378" s="3" t="s">
        <v>1321</v>
      </c>
      <c r="D378" s="33" t="s">
        <v>40</v>
      </c>
      <c r="E378" s="3">
        <v>3</v>
      </c>
      <c r="F378" s="1" t="s">
        <v>1361</v>
      </c>
      <c r="G378" s="4" t="s">
        <v>1362</v>
      </c>
      <c r="H378" s="11" t="s">
        <v>21</v>
      </c>
      <c r="I378" s="15" t="s">
        <v>21</v>
      </c>
      <c r="J378" s="15" t="s">
        <v>1363</v>
      </c>
      <c r="K378" s="11" t="s">
        <v>21</v>
      </c>
      <c r="L378" s="5" t="s">
        <v>31</v>
      </c>
      <c r="M378" s="305"/>
      <c r="N378" s="309"/>
      <c r="O378" s="309"/>
      <c r="P378" s="275" t="s">
        <v>2593</v>
      </c>
    </row>
    <row r="379" spans="1:16" ht="120" hidden="1" customHeight="1">
      <c r="A379" s="23" t="s">
        <v>1250</v>
      </c>
      <c r="B379" s="3" t="s">
        <v>1251</v>
      </c>
      <c r="C379" s="3" t="s">
        <v>1321</v>
      </c>
      <c r="D379" s="33" t="s">
        <v>40</v>
      </c>
      <c r="E379" s="3">
        <v>3</v>
      </c>
      <c r="F379" s="1" t="s">
        <v>1364</v>
      </c>
      <c r="G379" s="4" t="s">
        <v>1365</v>
      </c>
      <c r="H379" s="11" t="s">
        <v>21</v>
      </c>
      <c r="I379" s="15" t="s">
        <v>21</v>
      </c>
      <c r="J379" s="15" t="s">
        <v>1366</v>
      </c>
      <c r="K379" s="11" t="s">
        <v>21</v>
      </c>
      <c r="L379" s="5" t="s">
        <v>31</v>
      </c>
      <c r="M379" s="305"/>
      <c r="N379" s="309"/>
      <c r="O379" s="309"/>
      <c r="P379" s="275" t="s">
        <v>2593</v>
      </c>
    </row>
    <row r="380" spans="1:16" ht="136.5" hidden="1" customHeight="1">
      <c r="A380" s="23" t="s">
        <v>1250</v>
      </c>
      <c r="B380" s="3" t="s">
        <v>1251</v>
      </c>
      <c r="C380" s="3" t="s">
        <v>1321</v>
      </c>
      <c r="D380" s="33" t="s">
        <v>40</v>
      </c>
      <c r="E380" s="3">
        <v>3</v>
      </c>
      <c r="F380" s="1" t="s">
        <v>1367</v>
      </c>
      <c r="G380" s="4" t="s">
        <v>1368</v>
      </c>
      <c r="H380" s="11" t="s">
        <v>21</v>
      </c>
      <c r="I380" s="15" t="s">
        <v>21</v>
      </c>
      <c r="J380" s="15" t="s">
        <v>1369</v>
      </c>
      <c r="K380" s="11" t="s">
        <v>21</v>
      </c>
      <c r="L380" s="5" t="s">
        <v>31</v>
      </c>
      <c r="M380" s="305"/>
      <c r="N380" s="309"/>
      <c r="O380" s="309"/>
      <c r="P380" s="275" t="s">
        <v>2593</v>
      </c>
    </row>
    <row r="381" spans="1:16" ht="165.6" hidden="1">
      <c r="A381" s="23" t="s">
        <v>1250</v>
      </c>
      <c r="B381" s="3" t="s">
        <v>1251</v>
      </c>
      <c r="C381" s="3" t="s">
        <v>1321</v>
      </c>
      <c r="D381" s="33" t="s">
        <v>40</v>
      </c>
      <c r="E381" s="3">
        <v>3</v>
      </c>
      <c r="F381" s="1" t="s">
        <v>1370</v>
      </c>
      <c r="G381" s="4" t="s">
        <v>1371</v>
      </c>
      <c r="H381" s="11" t="s">
        <v>21</v>
      </c>
      <c r="I381" s="15" t="s">
        <v>21</v>
      </c>
      <c r="J381" s="15" t="s">
        <v>1372</v>
      </c>
      <c r="K381" s="11" t="s">
        <v>21</v>
      </c>
      <c r="L381" s="5" t="s">
        <v>31</v>
      </c>
      <c r="M381" s="305"/>
      <c r="N381" s="309"/>
      <c r="O381" s="309"/>
      <c r="P381" s="275" t="s">
        <v>2593</v>
      </c>
    </row>
    <row r="382" spans="1:16" ht="372.6" hidden="1">
      <c r="A382" s="23" t="s">
        <v>1250</v>
      </c>
      <c r="B382" s="3" t="s">
        <v>1251</v>
      </c>
      <c r="C382" s="3" t="s">
        <v>1321</v>
      </c>
      <c r="D382" s="30" t="s">
        <v>48</v>
      </c>
      <c r="E382" s="3">
        <v>4</v>
      </c>
      <c r="F382" s="1" t="s">
        <v>1373</v>
      </c>
      <c r="G382" s="4" t="s">
        <v>1374</v>
      </c>
      <c r="H382" s="11" t="s">
        <v>21</v>
      </c>
      <c r="I382" s="15" t="s">
        <v>21</v>
      </c>
      <c r="J382" s="15" t="s">
        <v>1375</v>
      </c>
      <c r="K382" s="11" t="s">
        <v>21</v>
      </c>
      <c r="L382" s="5" t="s">
        <v>31</v>
      </c>
      <c r="M382" s="305"/>
      <c r="N382" s="309"/>
      <c r="O382" s="309"/>
      <c r="P382" s="275" t="s">
        <v>2593</v>
      </c>
    </row>
    <row r="383" spans="1:16" ht="409.6" hidden="1">
      <c r="A383" s="23" t="s">
        <v>1250</v>
      </c>
      <c r="B383" s="3" t="s">
        <v>1251</v>
      </c>
      <c r="C383" s="3" t="s">
        <v>1321</v>
      </c>
      <c r="D383" s="30" t="s">
        <v>48</v>
      </c>
      <c r="E383" s="3">
        <v>4</v>
      </c>
      <c r="F383" s="1" t="s">
        <v>1376</v>
      </c>
      <c r="G383" s="4" t="s">
        <v>1377</v>
      </c>
      <c r="H383" s="11" t="s">
        <v>55</v>
      </c>
      <c r="I383" s="15" t="s">
        <v>1313</v>
      </c>
      <c r="J383" s="15" t="s">
        <v>1378</v>
      </c>
      <c r="K383" s="5" t="s">
        <v>31</v>
      </c>
      <c r="L383" s="5" t="s">
        <v>31</v>
      </c>
      <c r="M383" s="305">
        <v>1</v>
      </c>
      <c r="N383" s="309"/>
      <c r="O383" s="309"/>
      <c r="P383" s="275" t="s">
        <v>2593</v>
      </c>
    </row>
    <row r="384" spans="1:16" ht="220.8" hidden="1">
      <c r="A384" s="23" t="s">
        <v>1250</v>
      </c>
      <c r="B384" s="3" t="s">
        <v>1251</v>
      </c>
      <c r="C384" s="3" t="s">
        <v>1321</v>
      </c>
      <c r="D384" s="30" t="s">
        <v>48</v>
      </c>
      <c r="E384" s="3">
        <v>4</v>
      </c>
      <c r="F384" s="1" t="s">
        <v>1379</v>
      </c>
      <c r="G384" s="4" t="s">
        <v>1380</v>
      </c>
      <c r="H384" s="11" t="s">
        <v>21</v>
      </c>
      <c r="I384" s="15" t="s">
        <v>21</v>
      </c>
      <c r="J384" s="15" t="s">
        <v>1381</v>
      </c>
      <c r="K384" s="11" t="s">
        <v>21</v>
      </c>
      <c r="L384" s="5" t="s">
        <v>31</v>
      </c>
      <c r="M384" s="305"/>
      <c r="N384" s="309"/>
      <c r="O384" s="309"/>
      <c r="P384" s="275" t="s">
        <v>2593</v>
      </c>
    </row>
    <row r="385" spans="1:16" ht="94.05" hidden="1" customHeight="1">
      <c r="A385" s="23" t="s">
        <v>1250</v>
      </c>
      <c r="B385" s="3" t="s">
        <v>1251</v>
      </c>
      <c r="C385" s="3" t="s">
        <v>1321</v>
      </c>
      <c r="D385" s="31" t="s">
        <v>52</v>
      </c>
      <c r="E385" s="3">
        <v>5</v>
      </c>
      <c r="F385" s="40" t="s">
        <v>1382</v>
      </c>
      <c r="G385" s="34" t="s">
        <v>1383</v>
      </c>
      <c r="H385" s="11" t="s">
        <v>21</v>
      </c>
      <c r="I385" s="15" t="s">
        <v>21</v>
      </c>
      <c r="J385" s="15" t="s">
        <v>1384</v>
      </c>
      <c r="K385" s="11" t="s">
        <v>21</v>
      </c>
      <c r="L385" s="5" t="s">
        <v>31</v>
      </c>
      <c r="M385" s="305"/>
      <c r="N385" s="309"/>
      <c r="O385" s="309"/>
      <c r="P385" s="275" t="s">
        <v>2593</v>
      </c>
    </row>
    <row r="386" spans="1:16" ht="234.6" hidden="1">
      <c r="A386" s="23" t="s">
        <v>1250</v>
      </c>
      <c r="B386" s="3" t="s">
        <v>1251</v>
      </c>
      <c r="C386" s="3" t="s">
        <v>1321</v>
      </c>
      <c r="D386" s="31" t="s">
        <v>52</v>
      </c>
      <c r="E386" s="3">
        <v>5</v>
      </c>
      <c r="F386" s="1" t="s">
        <v>1385</v>
      </c>
      <c r="G386" s="4" t="s">
        <v>1386</v>
      </c>
      <c r="H386" s="11" t="s">
        <v>21</v>
      </c>
      <c r="I386" s="15" t="s">
        <v>21</v>
      </c>
      <c r="J386" s="15" t="s">
        <v>1387</v>
      </c>
      <c r="K386" s="11" t="s">
        <v>21</v>
      </c>
      <c r="L386" s="5" t="s">
        <v>31</v>
      </c>
      <c r="M386" s="305"/>
      <c r="N386" s="309"/>
      <c r="O386" s="309"/>
      <c r="P386" s="275" t="s">
        <v>2593</v>
      </c>
    </row>
    <row r="387" spans="1:16" ht="193.2" hidden="1">
      <c r="A387" s="23" t="s">
        <v>1250</v>
      </c>
      <c r="B387" s="3" t="s">
        <v>1251</v>
      </c>
      <c r="C387" s="3" t="s">
        <v>1321</v>
      </c>
      <c r="D387" s="31" t="s">
        <v>52</v>
      </c>
      <c r="E387" s="3">
        <v>5</v>
      </c>
      <c r="F387" s="1" t="s">
        <v>1388</v>
      </c>
      <c r="G387" s="4" t="s">
        <v>1389</v>
      </c>
      <c r="H387" s="11" t="s">
        <v>21</v>
      </c>
      <c r="I387" s="15" t="s">
        <v>21</v>
      </c>
      <c r="J387" s="15" t="s">
        <v>1390</v>
      </c>
      <c r="K387" s="11" t="s">
        <v>21</v>
      </c>
      <c r="L387" s="5" t="s">
        <v>31</v>
      </c>
      <c r="M387" s="305"/>
      <c r="N387" s="309"/>
      <c r="O387" s="309"/>
      <c r="P387" s="275" t="s">
        <v>2593</v>
      </c>
    </row>
    <row r="388" spans="1:16" ht="193.2" hidden="1">
      <c r="A388" s="23" t="s">
        <v>1250</v>
      </c>
      <c r="B388" s="3" t="s">
        <v>1251</v>
      </c>
      <c r="C388" s="3" t="s">
        <v>1321</v>
      </c>
      <c r="D388" s="31" t="s">
        <v>52</v>
      </c>
      <c r="E388" s="3">
        <v>5</v>
      </c>
      <c r="F388" s="4" t="s">
        <v>1391</v>
      </c>
      <c r="G388" s="4" t="s">
        <v>1392</v>
      </c>
      <c r="H388" s="11" t="s">
        <v>21</v>
      </c>
      <c r="I388" s="15" t="s">
        <v>21</v>
      </c>
      <c r="J388" s="15" t="s">
        <v>1393</v>
      </c>
      <c r="K388" s="11" t="s">
        <v>21</v>
      </c>
      <c r="L388" s="5" t="s">
        <v>31</v>
      </c>
      <c r="M388" s="305"/>
      <c r="N388" s="309"/>
      <c r="O388" s="309"/>
      <c r="P388" s="275" t="s">
        <v>2593</v>
      </c>
    </row>
    <row r="389" spans="1:16" ht="165.6" hidden="1">
      <c r="A389" s="23" t="s">
        <v>1250</v>
      </c>
      <c r="B389" s="3" t="s">
        <v>1251</v>
      </c>
      <c r="C389" s="3" t="s">
        <v>1321</v>
      </c>
      <c r="D389" s="31" t="s">
        <v>52</v>
      </c>
      <c r="E389" s="3">
        <v>5</v>
      </c>
      <c r="F389" s="1" t="s">
        <v>1394</v>
      </c>
      <c r="G389" s="4" t="s">
        <v>1395</v>
      </c>
      <c r="H389" s="11" t="s">
        <v>21</v>
      </c>
      <c r="I389" s="15" t="s">
        <v>21</v>
      </c>
      <c r="J389" s="15" t="s">
        <v>1396</v>
      </c>
      <c r="K389" s="11" t="s">
        <v>21</v>
      </c>
      <c r="L389" s="5" t="s">
        <v>31</v>
      </c>
      <c r="M389" s="305"/>
      <c r="N389" s="309"/>
      <c r="O389" s="309"/>
      <c r="P389" s="275" t="s">
        <v>2593</v>
      </c>
    </row>
    <row r="390" spans="1:16" ht="76.95" hidden="1" customHeight="1">
      <c r="A390" s="23" t="s">
        <v>1250</v>
      </c>
      <c r="B390" s="3" t="s">
        <v>1251</v>
      </c>
      <c r="C390" s="3" t="s">
        <v>1397</v>
      </c>
      <c r="D390" s="27" t="s">
        <v>18</v>
      </c>
      <c r="E390" s="3">
        <v>1</v>
      </c>
      <c r="F390" s="1" t="s">
        <v>1398</v>
      </c>
      <c r="G390" s="4" t="s">
        <v>1399</v>
      </c>
      <c r="H390" s="11" t="s">
        <v>21</v>
      </c>
      <c r="I390" s="15" t="s">
        <v>21</v>
      </c>
      <c r="J390" s="15" t="s">
        <v>1400</v>
      </c>
      <c r="K390" s="11" t="s">
        <v>21</v>
      </c>
      <c r="L390" s="5" t="s">
        <v>23</v>
      </c>
      <c r="M390" s="305"/>
      <c r="N390" s="309"/>
      <c r="O390" s="309" t="s">
        <v>2567</v>
      </c>
      <c r="P390" s="275" t="s">
        <v>2593</v>
      </c>
    </row>
    <row r="391" spans="1:16" ht="84" hidden="1" customHeight="1">
      <c r="A391" s="23" t="s">
        <v>1250</v>
      </c>
      <c r="B391" s="3" t="s">
        <v>1251</v>
      </c>
      <c r="C391" s="3" t="s">
        <v>1397</v>
      </c>
      <c r="D391" s="27" t="s">
        <v>18</v>
      </c>
      <c r="E391" s="3">
        <v>1</v>
      </c>
      <c r="F391" s="1" t="s">
        <v>1401</v>
      </c>
      <c r="G391" s="4" t="s">
        <v>1402</v>
      </c>
      <c r="H391" s="11" t="s">
        <v>21</v>
      </c>
      <c r="I391" s="15" t="s">
        <v>21</v>
      </c>
      <c r="J391" s="15" t="s">
        <v>1403</v>
      </c>
      <c r="K391" s="11" t="s">
        <v>21</v>
      </c>
      <c r="L391" s="5" t="s">
        <v>23</v>
      </c>
      <c r="M391" s="305"/>
      <c r="N391" s="309" t="s">
        <v>2607</v>
      </c>
      <c r="O391" s="309" t="s">
        <v>2566</v>
      </c>
      <c r="P391" s="275" t="s">
        <v>2593</v>
      </c>
    </row>
    <row r="392" spans="1:16" ht="168.45" hidden="1" customHeight="1">
      <c r="A392" s="23" t="s">
        <v>1250</v>
      </c>
      <c r="B392" s="3" t="s">
        <v>1251</v>
      </c>
      <c r="C392" s="3" t="s">
        <v>1397</v>
      </c>
      <c r="D392" s="32" t="s">
        <v>24</v>
      </c>
      <c r="E392" s="3">
        <v>2</v>
      </c>
      <c r="F392" s="1" t="s">
        <v>1404</v>
      </c>
      <c r="G392" s="4" t="s">
        <v>1405</v>
      </c>
      <c r="H392" s="11" t="s">
        <v>21</v>
      </c>
      <c r="I392" s="15" t="s">
        <v>21</v>
      </c>
      <c r="J392" s="15" t="s">
        <v>1406</v>
      </c>
      <c r="K392" s="11" t="s">
        <v>21</v>
      </c>
      <c r="L392" s="5" t="s">
        <v>31</v>
      </c>
      <c r="M392" s="305"/>
      <c r="N392" s="309"/>
      <c r="O392" s="309"/>
      <c r="P392" s="275" t="s">
        <v>2593</v>
      </c>
    </row>
    <row r="393" spans="1:16" ht="248.4" hidden="1">
      <c r="A393" s="23" t="s">
        <v>1250</v>
      </c>
      <c r="B393" s="3" t="s">
        <v>1251</v>
      </c>
      <c r="C393" s="3" t="s">
        <v>1397</v>
      </c>
      <c r="D393" s="33" t="s">
        <v>40</v>
      </c>
      <c r="E393" s="3">
        <v>3</v>
      </c>
      <c r="F393" s="2" t="s">
        <v>1407</v>
      </c>
      <c r="G393" s="4" t="s">
        <v>1408</v>
      </c>
      <c r="H393" s="11" t="s">
        <v>21</v>
      </c>
      <c r="I393" s="15" t="s">
        <v>21</v>
      </c>
      <c r="J393" s="15" t="s">
        <v>1409</v>
      </c>
      <c r="K393" s="11" t="s">
        <v>21</v>
      </c>
      <c r="L393" s="5" t="s">
        <v>31</v>
      </c>
      <c r="M393" s="305"/>
      <c r="N393" s="309"/>
      <c r="O393" s="309"/>
      <c r="P393" s="275" t="s">
        <v>2593</v>
      </c>
    </row>
    <row r="394" spans="1:16" ht="262.2" hidden="1">
      <c r="A394" s="23" t="s">
        <v>1250</v>
      </c>
      <c r="B394" s="3" t="s">
        <v>1251</v>
      </c>
      <c r="C394" s="3" t="s">
        <v>1397</v>
      </c>
      <c r="D394" s="33" t="s">
        <v>40</v>
      </c>
      <c r="E394" s="3">
        <v>3</v>
      </c>
      <c r="F394" s="1" t="s">
        <v>1410</v>
      </c>
      <c r="G394" s="4" t="s">
        <v>1411</v>
      </c>
      <c r="H394" s="11" t="s">
        <v>21</v>
      </c>
      <c r="I394" s="15" t="s">
        <v>21</v>
      </c>
      <c r="J394" s="15" t="s">
        <v>1412</v>
      </c>
      <c r="K394" s="11" t="s">
        <v>21</v>
      </c>
      <c r="L394" s="5" t="s">
        <v>31</v>
      </c>
      <c r="M394" s="305"/>
      <c r="N394" s="309"/>
      <c r="O394" s="309"/>
      <c r="P394" s="275" t="s">
        <v>2593</v>
      </c>
    </row>
    <row r="395" spans="1:16" ht="276" hidden="1">
      <c r="A395" s="23" t="s">
        <v>1250</v>
      </c>
      <c r="B395" s="3" t="s">
        <v>1251</v>
      </c>
      <c r="C395" s="3" t="s">
        <v>1397</v>
      </c>
      <c r="D395" s="33" t="s">
        <v>40</v>
      </c>
      <c r="E395" s="3">
        <v>3</v>
      </c>
      <c r="F395" s="1" t="s">
        <v>1413</v>
      </c>
      <c r="G395" s="4" t="s">
        <v>1414</v>
      </c>
      <c r="H395" s="11" t="s">
        <v>21</v>
      </c>
      <c r="I395" s="15" t="s">
        <v>21</v>
      </c>
      <c r="J395" s="15" t="s">
        <v>1415</v>
      </c>
      <c r="K395" s="11" t="s">
        <v>21</v>
      </c>
      <c r="L395" s="5" t="s">
        <v>31</v>
      </c>
      <c r="M395" s="305"/>
      <c r="N395" s="309"/>
      <c r="O395" s="309"/>
      <c r="P395" s="275" t="s">
        <v>2593</v>
      </c>
    </row>
    <row r="396" spans="1:16" ht="124.2" hidden="1">
      <c r="A396" s="23" t="s">
        <v>1250</v>
      </c>
      <c r="B396" s="3" t="s">
        <v>1251</v>
      </c>
      <c r="C396" s="3" t="s">
        <v>1397</v>
      </c>
      <c r="D396" s="33" t="s">
        <v>40</v>
      </c>
      <c r="E396" s="3">
        <v>3</v>
      </c>
      <c r="F396" s="1" t="s">
        <v>1416</v>
      </c>
      <c r="G396" s="4" t="s">
        <v>1417</v>
      </c>
      <c r="H396" s="11" t="s">
        <v>21</v>
      </c>
      <c r="I396" s="15" t="s">
        <v>21</v>
      </c>
      <c r="J396" s="15" t="s">
        <v>1418</v>
      </c>
      <c r="K396" s="11" t="s">
        <v>21</v>
      </c>
      <c r="L396" s="5" t="s">
        <v>31</v>
      </c>
      <c r="M396" s="305"/>
      <c r="N396" s="309"/>
      <c r="O396" s="309"/>
      <c r="P396" s="275" t="s">
        <v>2593</v>
      </c>
    </row>
    <row r="397" spans="1:16" ht="358.8" hidden="1">
      <c r="A397" s="23" t="s">
        <v>1250</v>
      </c>
      <c r="B397" s="3" t="s">
        <v>1251</v>
      </c>
      <c r="C397" s="3" t="s">
        <v>1397</v>
      </c>
      <c r="D397" s="30" t="s">
        <v>48</v>
      </c>
      <c r="E397" s="3">
        <v>4</v>
      </c>
      <c r="F397" s="1" t="s">
        <v>1419</v>
      </c>
      <c r="G397" s="4" t="s">
        <v>1420</v>
      </c>
      <c r="H397" s="11" t="s">
        <v>21</v>
      </c>
      <c r="I397" s="15" t="s">
        <v>21</v>
      </c>
      <c r="J397" s="15" t="s">
        <v>1421</v>
      </c>
      <c r="K397" s="11" t="s">
        <v>21</v>
      </c>
      <c r="L397" s="5" t="s">
        <v>31</v>
      </c>
      <c r="M397" s="305"/>
      <c r="N397" s="309"/>
      <c r="O397" s="309"/>
      <c r="P397" s="275" t="s">
        <v>2593</v>
      </c>
    </row>
    <row r="398" spans="1:16" ht="138" hidden="1">
      <c r="A398" s="23" t="s">
        <v>1250</v>
      </c>
      <c r="B398" s="3" t="s">
        <v>1251</v>
      </c>
      <c r="C398" s="3" t="s">
        <v>1397</v>
      </c>
      <c r="D398" s="31" t="s">
        <v>52</v>
      </c>
      <c r="E398" s="3">
        <v>5</v>
      </c>
      <c r="F398" s="1" t="s">
        <v>1422</v>
      </c>
      <c r="G398" s="4" t="s">
        <v>1423</v>
      </c>
      <c r="H398" s="11" t="s">
        <v>21</v>
      </c>
      <c r="I398" s="15" t="s">
        <v>21</v>
      </c>
      <c r="J398" s="15" t="s">
        <v>1424</v>
      </c>
      <c r="K398" s="11" t="s">
        <v>21</v>
      </c>
      <c r="L398" s="5" t="s">
        <v>31</v>
      </c>
      <c r="M398" s="305"/>
      <c r="N398" s="309"/>
      <c r="O398" s="309"/>
      <c r="P398" s="275" t="s">
        <v>2593</v>
      </c>
    </row>
    <row r="399" spans="1:16" ht="276" hidden="1">
      <c r="A399" s="23" t="s">
        <v>1250</v>
      </c>
      <c r="B399" s="3" t="s">
        <v>1251</v>
      </c>
      <c r="C399" s="3" t="s">
        <v>1397</v>
      </c>
      <c r="D399" s="31" t="s">
        <v>52</v>
      </c>
      <c r="E399" s="3">
        <v>5</v>
      </c>
      <c r="F399" s="1" t="s">
        <v>1425</v>
      </c>
      <c r="G399" s="4" t="s">
        <v>1426</v>
      </c>
      <c r="H399" s="11" t="s">
        <v>21</v>
      </c>
      <c r="I399" s="15" t="s">
        <v>21</v>
      </c>
      <c r="J399" s="15" t="s">
        <v>1427</v>
      </c>
      <c r="K399" s="11" t="s">
        <v>21</v>
      </c>
      <c r="L399" s="5" t="s">
        <v>31</v>
      </c>
      <c r="M399" s="305"/>
      <c r="N399" s="309"/>
      <c r="O399" s="309"/>
      <c r="P399" s="275" t="s">
        <v>2593</v>
      </c>
    </row>
    <row r="400" spans="1:16" ht="207" hidden="1">
      <c r="A400" s="23" t="s">
        <v>1250</v>
      </c>
      <c r="B400" s="3" t="s">
        <v>1251</v>
      </c>
      <c r="C400" s="3" t="s">
        <v>1397</v>
      </c>
      <c r="D400" s="31" t="s">
        <v>52</v>
      </c>
      <c r="E400" s="3">
        <v>5</v>
      </c>
      <c r="F400" s="1" t="s">
        <v>1428</v>
      </c>
      <c r="G400" s="4" t="s">
        <v>1429</v>
      </c>
      <c r="H400" s="11" t="s">
        <v>21</v>
      </c>
      <c r="I400" s="15" t="s">
        <v>21</v>
      </c>
      <c r="J400" s="15" t="s">
        <v>1430</v>
      </c>
      <c r="K400" s="11" t="s">
        <v>21</v>
      </c>
      <c r="L400" s="5" t="s">
        <v>31</v>
      </c>
      <c r="M400" s="305"/>
      <c r="N400" s="309"/>
      <c r="O400" s="309"/>
      <c r="P400" s="275" t="s">
        <v>2593</v>
      </c>
    </row>
    <row r="401" spans="1:16" ht="82.8" hidden="1">
      <c r="A401" s="23" t="s">
        <v>1431</v>
      </c>
      <c r="B401" s="3" t="s">
        <v>1432</v>
      </c>
      <c r="C401" s="3" t="s">
        <v>1433</v>
      </c>
      <c r="D401" s="6" t="s">
        <v>18</v>
      </c>
      <c r="E401" s="3">
        <v>1</v>
      </c>
      <c r="F401" s="14" t="s">
        <v>1434</v>
      </c>
      <c r="G401" s="14" t="s">
        <v>1435</v>
      </c>
      <c r="H401" s="11" t="s">
        <v>21</v>
      </c>
      <c r="I401" s="15" t="s">
        <v>21</v>
      </c>
      <c r="J401" s="15" t="s">
        <v>1436</v>
      </c>
      <c r="K401" s="11" t="s">
        <v>21</v>
      </c>
      <c r="L401" s="5" t="s">
        <v>31</v>
      </c>
      <c r="M401" s="305"/>
      <c r="N401" s="309" t="s">
        <v>2614</v>
      </c>
      <c r="O401" s="309" t="s">
        <v>2509</v>
      </c>
      <c r="P401" s="275" t="s">
        <v>2593</v>
      </c>
    </row>
    <row r="402" spans="1:16" ht="96.6" hidden="1">
      <c r="A402" s="23" t="s">
        <v>1431</v>
      </c>
      <c r="B402" s="3" t="s">
        <v>1432</v>
      </c>
      <c r="C402" s="3" t="s">
        <v>1433</v>
      </c>
      <c r="D402" s="7" t="s">
        <v>24</v>
      </c>
      <c r="E402" s="3">
        <v>2</v>
      </c>
      <c r="F402" s="4" t="s">
        <v>1437</v>
      </c>
      <c r="G402" s="4" t="s">
        <v>1438</v>
      </c>
      <c r="H402" s="11" t="s">
        <v>27</v>
      </c>
      <c r="I402" s="15" t="s">
        <v>1439</v>
      </c>
      <c r="J402" s="15" t="s">
        <v>1440</v>
      </c>
      <c r="K402" s="5" t="s">
        <v>23</v>
      </c>
      <c r="L402" s="5" t="s">
        <v>23</v>
      </c>
      <c r="M402" s="305"/>
      <c r="N402" s="309"/>
      <c r="O402" s="309" t="s">
        <v>2488</v>
      </c>
      <c r="P402" s="275" t="s">
        <v>2593</v>
      </c>
    </row>
    <row r="403" spans="1:16" ht="124.2" hidden="1">
      <c r="A403" s="23" t="s">
        <v>1431</v>
      </c>
      <c r="B403" s="3" t="s">
        <v>1432</v>
      </c>
      <c r="C403" s="3" t="s">
        <v>1433</v>
      </c>
      <c r="D403" s="7" t="s">
        <v>24</v>
      </c>
      <c r="E403" s="3">
        <v>2</v>
      </c>
      <c r="F403" s="4" t="s">
        <v>1441</v>
      </c>
      <c r="G403" s="4" t="s">
        <v>1442</v>
      </c>
      <c r="H403" s="11" t="s">
        <v>27</v>
      </c>
      <c r="I403" s="15" t="s">
        <v>1443</v>
      </c>
      <c r="J403" s="15" t="s">
        <v>1444</v>
      </c>
      <c r="K403" s="5" t="s">
        <v>30</v>
      </c>
      <c r="L403" s="5" t="s">
        <v>2572</v>
      </c>
      <c r="M403" s="305"/>
      <c r="N403" s="313" t="s">
        <v>2616</v>
      </c>
      <c r="O403" s="309" t="s">
        <v>2553</v>
      </c>
      <c r="P403" s="275" t="s">
        <v>2593</v>
      </c>
    </row>
    <row r="404" spans="1:16" ht="124.2" hidden="1">
      <c r="A404" s="23" t="s">
        <v>1431</v>
      </c>
      <c r="B404" s="3" t="s">
        <v>1432</v>
      </c>
      <c r="C404" s="3" t="s">
        <v>1433</v>
      </c>
      <c r="D404" s="7" t="s">
        <v>24</v>
      </c>
      <c r="E404" s="3">
        <v>2</v>
      </c>
      <c r="F404" s="4" t="s">
        <v>1445</v>
      </c>
      <c r="G404" s="4" t="s">
        <v>1446</v>
      </c>
      <c r="H404" s="11" t="s">
        <v>55</v>
      </c>
      <c r="I404" s="15" t="s">
        <v>1447</v>
      </c>
      <c r="J404" s="15" t="s">
        <v>1448</v>
      </c>
      <c r="K404" s="5" t="s">
        <v>30</v>
      </c>
      <c r="L404" s="5" t="s">
        <v>2572</v>
      </c>
      <c r="M404" s="305"/>
      <c r="N404" s="313" t="s">
        <v>2618</v>
      </c>
      <c r="O404" s="309" t="s">
        <v>2617</v>
      </c>
      <c r="P404" s="275" t="s">
        <v>2593</v>
      </c>
    </row>
    <row r="405" spans="1:16" ht="97.5" hidden="1" customHeight="1">
      <c r="A405" s="23" t="s">
        <v>1431</v>
      </c>
      <c r="B405" s="3" t="s">
        <v>1432</v>
      </c>
      <c r="C405" s="3" t="s">
        <v>1433</v>
      </c>
      <c r="D405" s="7" t="s">
        <v>24</v>
      </c>
      <c r="E405" s="3">
        <v>2</v>
      </c>
      <c r="F405" s="4" t="s">
        <v>1449</v>
      </c>
      <c r="G405" s="1" t="s">
        <v>1450</v>
      </c>
      <c r="H405" s="11" t="s">
        <v>55</v>
      </c>
      <c r="I405" s="15" t="s">
        <v>1451</v>
      </c>
      <c r="J405" s="15" t="s">
        <v>1452</v>
      </c>
      <c r="K405" s="5" t="s">
        <v>31</v>
      </c>
      <c r="L405" s="5" t="s">
        <v>31</v>
      </c>
      <c r="M405" s="305"/>
      <c r="N405" s="309"/>
      <c r="O405" s="309"/>
      <c r="P405" s="275" t="s">
        <v>2593</v>
      </c>
    </row>
    <row r="406" spans="1:16" ht="85.95" hidden="1" customHeight="1">
      <c r="A406" s="23" t="s">
        <v>1431</v>
      </c>
      <c r="B406" s="3" t="s">
        <v>1432</v>
      </c>
      <c r="C406" s="3" t="s">
        <v>1433</v>
      </c>
      <c r="D406" s="7" t="s">
        <v>24</v>
      </c>
      <c r="E406" s="3">
        <v>2</v>
      </c>
      <c r="F406" s="4" t="s">
        <v>1453</v>
      </c>
      <c r="G406" s="2" t="s">
        <v>1454</v>
      </c>
      <c r="H406" s="11" t="s">
        <v>21</v>
      </c>
      <c r="I406" s="15" t="s">
        <v>21</v>
      </c>
      <c r="J406" s="15" t="s">
        <v>1455</v>
      </c>
      <c r="K406" s="11" t="s">
        <v>21</v>
      </c>
      <c r="L406" s="5" t="s">
        <v>31</v>
      </c>
      <c r="M406" s="305"/>
      <c r="N406" s="309"/>
      <c r="O406" s="309"/>
      <c r="P406" s="275" t="s">
        <v>2593</v>
      </c>
    </row>
    <row r="407" spans="1:16" ht="303.60000000000002" hidden="1">
      <c r="A407" s="23" t="s">
        <v>1431</v>
      </c>
      <c r="B407" s="3" t="s">
        <v>1432</v>
      </c>
      <c r="C407" s="3" t="s">
        <v>1433</v>
      </c>
      <c r="D407" s="7" t="s">
        <v>24</v>
      </c>
      <c r="E407" s="3">
        <v>2</v>
      </c>
      <c r="F407" s="4" t="s">
        <v>1456</v>
      </c>
      <c r="G407" s="4" t="s">
        <v>1457</v>
      </c>
      <c r="H407" s="11" t="s">
        <v>27</v>
      </c>
      <c r="I407" s="15" t="s">
        <v>1458</v>
      </c>
      <c r="J407" s="15" t="s">
        <v>1459</v>
      </c>
      <c r="K407" s="5" t="s">
        <v>30</v>
      </c>
      <c r="L407" s="5" t="s">
        <v>2572</v>
      </c>
      <c r="M407" s="305"/>
      <c r="N407" s="309" t="s">
        <v>2581</v>
      </c>
      <c r="O407" s="309"/>
      <c r="P407" s="275" t="s">
        <v>2593</v>
      </c>
    </row>
    <row r="408" spans="1:16" ht="111.45" hidden="1" customHeight="1">
      <c r="A408" s="23" t="s">
        <v>1431</v>
      </c>
      <c r="B408" s="3" t="s">
        <v>1432</v>
      </c>
      <c r="C408" s="3" t="s">
        <v>1433</v>
      </c>
      <c r="D408" s="8" t="s">
        <v>40</v>
      </c>
      <c r="E408" s="3">
        <v>3</v>
      </c>
      <c r="F408" s="2" t="s">
        <v>1460</v>
      </c>
      <c r="G408" s="2" t="s">
        <v>1461</v>
      </c>
      <c r="H408" s="11" t="s">
        <v>21</v>
      </c>
      <c r="I408" s="15" t="s">
        <v>21</v>
      </c>
      <c r="J408" s="15" t="s">
        <v>1462</v>
      </c>
      <c r="K408" s="11" t="s">
        <v>21</v>
      </c>
      <c r="L408" s="5" t="s">
        <v>31</v>
      </c>
      <c r="M408" s="305"/>
      <c r="N408" s="309" t="s">
        <v>2555</v>
      </c>
      <c r="O408" s="309" t="s">
        <v>2554</v>
      </c>
      <c r="P408" s="275"/>
    </row>
    <row r="409" spans="1:16" ht="73.05" hidden="1" customHeight="1">
      <c r="A409" s="23" t="s">
        <v>1431</v>
      </c>
      <c r="B409" s="3" t="s">
        <v>1432</v>
      </c>
      <c r="C409" s="3" t="s">
        <v>1433</v>
      </c>
      <c r="D409" s="8" t="s">
        <v>40</v>
      </c>
      <c r="E409" s="3">
        <v>3</v>
      </c>
      <c r="F409" s="2" t="s">
        <v>1463</v>
      </c>
      <c r="G409" s="2" t="s">
        <v>1464</v>
      </c>
      <c r="H409" s="11" t="s">
        <v>21</v>
      </c>
      <c r="I409" s="15" t="s">
        <v>21</v>
      </c>
      <c r="J409" s="15" t="s">
        <v>1465</v>
      </c>
      <c r="K409" s="11" t="s">
        <v>21</v>
      </c>
      <c r="L409" s="5" t="s">
        <v>31</v>
      </c>
      <c r="M409" s="305"/>
      <c r="N409" s="309"/>
      <c r="O409" s="309"/>
      <c r="P409" s="275"/>
    </row>
    <row r="410" spans="1:16" ht="358.8" hidden="1">
      <c r="A410" s="23" t="s">
        <v>1431</v>
      </c>
      <c r="B410" s="3" t="s">
        <v>1432</v>
      </c>
      <c r="C410" s="3" t="s">
        <v>1433</v>
      </c>
      <c r="D410" s="12" t="s">
        <v>48</v>
      </c>
      <c r="E410" s="3">
        <v>4</v>
      </c>
      <c r="F410" s="4" t="s">
        <v>1466</v>
      </c>
      <c r="G410" s="4" t="s">
        <v>2483</v>
      </c>
      <c r="H410" s="11" t="s">
        <v>55</v>
      </c>
      <c r="I410" s="15" t="s">
        <v>1467</v>
      </c>
      <c r="J410" s="15" t="s">
        <v>1468</v>
      </c>
      <c r="K410" s="5" t="s">
        <v>31</v>
      </c>
      <c r="L410" s="5" t="s">
        <v>31</v>
      </c>
      <c r="M410" s="305"/>
      <c r="N410" s="309"/>
      <c r="O410" s="309"/>
      <c r="P410" s="275"/>
    </row>
    <row r="411" spans="1:16" ht="156.44999999999999" hidden="1" customHeight="1">
      <c r="A411" s="23" t="s">
        <v>1431</v>
      </c>
      <c r="B411" s="3" t="s">
        <v>1432</v>
      </c>
      <c r="C411" s="3" t="s">
        <v>1433</v>
      </c>
      <c r="D411" s="10" t="s">
        <v>52</v>
      </c>
      <c r="E411" s="3">
        <v>5</v>
      </c>
      <c r="F411" s="4" t="s">
        <v>1469</v>
      </c>
      <c r="G411" s="4" t="s">
        <v>1470</v>
      </c>
      <c r="H411" s="11" t="s">
        <v>21</v>
      </c>
      <c r="I411" s="15" t="s">
        <v>21</v>
      </c>
      <c r="J411" s="15" t="s">
        <v>1471</v>
      </c>
      <c r="K411" s="11" t="s">
        <v>21</v>
      </c>
      <c r="L411" s="5" t="s">
        <v>31</v>
      </c>
      <c r="M411" s="305"/>
      <c r="N411" s="309"/>
      <c r="O411" s="309"/>
      <c r="P411" s="275"/>
    </row>
    <row r="412" spans="1:16" ht="124.95" hidden="1" customHeight="1">
      <c r="A412" s="23" t="s">
        <v>1431</v>
      </c>
      <c r="B412" s="3" t="s">
        <v>1432</v>
      </c>
      <c r="C412" s="3" t="s">
        <v>1433</v>
      </c>
      <c r="D412" s="10" t="s">
        <v>52</v>
      </c>
      <c r="E412" s="3">
        <v>5</v>
      </c>
      <c r="F412" s="4" t="s">
        <v>1472</v>
      </c>
      <c r="G412" s="4" t="s">
        <v>1473</v>
      </c>
      <c r="H412" s="11" t="s">
        <v>55</v>
      </c>
      <c r="I412" s="15" t="s">
        <v>1474</v>
      </c>
      <c r="J412" s="15" t="s">
        <v>1475</v>
      </c>
      <c r="K412" s="5" t="s">
        <v>31</v>
      </c>
      <c r="L412" s="5" t="s">
        <v>31</v>
      </c>
      <c r="M412" s="305"/>
      <c r="N412" s="309"/>
      <c r="O412" s="309"/>
      <c r="P412" s="275"/>
    </row>
    <row r="413" spans="1:16" ht="124.2" hidden="1">
      <c r="A413" s="23" t="s">
        <v>1431</v>
      </c>
      <c r="B413" s="3" t="s">
        <v>1432</v>
      </c>
      <c r="C413" s="3" t="s">
        <v>1433</v>
      </c>
      <c r="D413" s="10" t="s">
        <v>52</v>
      </c>
      <c r="E413" s="3">
        <v>5</v>
      </c>
      <c r="F413" s="4" t="s">
        <v>1476</v>
      </c>
      <c r="G413" s="4" t="s">
        <v>1477</v>
      </c>
      <c r="H413" s="11" t="s">
        <v>21</v>
      </c>
      <c r="I413" s="15" t="s">
        <v>21</v>
      </c>
      <c r="J413" s="15" t="s">
        <v>1478</v>
      </c>
      <c r="K413" s="11" t="s">
        <v>21</v>
      </c>
      <c r="L413" s="5" t="s">
        <v>31</v>
      </c>
      <c r="M413" s="305"/>
      <c r="N413" s="309"/>
      <c r="O413" s="309"/>
      <c r="P413" s="275"/>
    </row>
    <row r="414" spans="1:16" ht="154.5" hidden="1" customHeight="1">
      <c r="A414" s="23" t="s">
        <v>1431</v>
      </c>
      <c r="B414" s="3" t="s">
        <v>1432</v>
      </c>
      <c r="C414" s="3" t="s">
        <v>1433</v>
      </c>
      <c r="D414" s="10" t="s">
        <v>52</v>
      </c>
      <c r="E414" s="3">
        <v>5</v>
      </c>
      <c r="F414" s="4" t="s">
        <v>1479</v>
      </c>
      <c r="G414" s="4" t="s">
        <v>1480</v>
      </c>
      <c r="H414" s="11" t="s">
        <v>55</v>
      </c>
      <c r="I414" s="15" t="s">
        <v>1481</v>
      </c>
      <c r="J414" s="15" t="s">
        <v>1482</v>
      </c>
      <c r="K414" s="5" t="s">
        <v>31</v>
      </c>
      <c r="L414" s="5" t="s">
        <v>31</v>
      </c>
      <c r="M414" s="305"/>
      <c r="N414" s="309"/>
      <c r="O414" s="309"/>
      <c r="P414" s="275"/>
    </row>
    <row r="415" spans="1:16" ht="123.45" hidden="1" customHeight="1">
      <c r="A415" s="23" t="s">
        <v>1431</v>
      </c>
      <c r="B415" s="3" t="s">
        <v>1432</v>
      </c>
      <c r="C415" s="3" t="s">
        <v>1483</v>
      </c>
      <c r="D415" s="6" t="s">
        <v>18</v>
      </c>
      <c r="E415" s="3">
        <v>1</v>
      </c>
      <c r="F415" s="4" t="s">
        <v>1484</v>
      </c>
      <c r="G415" s="4" t="s">
        <v>1485</v>
      </c>
      <c r="H415" s="11" t="s">
        <v>21</v>
      </c>
      <c r="I415" s="15" t="s">
        <v>21</v>
      </c>
      <c r="J415" s="15" t="s">
        <v>1486</v>
      </c>
      <c r="K415" s="11" t="s">
        <v>21</v>
      </c>
      <c r="L415" s="5" t="s">
        <v>31</v>
      </c>
      <c r="M415" s="305"/>
      <c r="N415" s="309"/>
      <c r="O415" s="309"/>
      <c r="P415" s="275" t="s">
        <v>2593</v>
      </c>
    </row>
    <row r="416" spans="1:16" ht="96" hidden="1" customHeight="1">
      <c r="A416" s="23" t="s">
        <v>1431</v>
      </c>
      <c r="B416" s="3" t="s">
        <v>1432</v>
      </c>
      <c r="C416" s="3" t="s">
        <v>1483</v>
      </c>
      <c r="D416" s="7" t="s">
        <v>24</v>
      </c>
      <c r="E416" s="3">
        <v>2</v>
      </c>
      <c r="F416" s="4" t="s">
        <v>1487</v>
      </c>
      <c r="G416" s="2" t="s">
        <v>1488</v>
      </c>
      <c r="H416" s="11" t="s">
        <v>21</v>
      </c>
      <c r="I416" s="15" t="s">
        <v>21</v>
      </c>
      <c r="J416" s="15" t="s">
        <v>1489</v>
      </c>
      <c r="K416" s="11" t="s">
        <v>21</v>
      </c>
      <c r="L416" s="5" t="s">
        <v>31</v>
      </c>
      <c r="M416" s="305"/>
      <c r="N416" s="309"/>
      <c r="O416" s="309"/>
      <c r="P416" s="275" t="s">
        <v>2593</v>
      </c>
    </row>
    <row r="417" spans="1:16" ht="190.95" hidden="1" customHeight="1">
      <c r="A417" s="23" t="s">
        <v>1431</v>
      </c>
      <c r="B417" s="3" t="s">
        <v>1432</v>
      </c>
      <c r="C417" s="3" t="s">
        <v>1483</v>
      </c>
      <c r="D417" s="7" t="s">
        <v>24</v>
      </c>
      <c r="E417" s="3">
        <v>2</v>
      </c>
      <c r="F417" s="4" t="s">
        <v>1490</v>
      </c>
      <c r="G417" s="4" t="s">
        <v>1491</v>
      </c>
      <c r="H417" s="11" t="s">
        <v>55</v>
      </c>
      <c r="I417" s="15" t="s">
        <v>1492</v>
      </c>
      <c r="J417" s="15" t="s">
        <v>1493</v>
      </c>
      <c r="K417" s="5" t="s">
        <v>31</v>
      </c>
      <c r="L417" s="5" t="s">
        <v>31</v>
      </c>
      <c r="M417" s="305"/>
      <c r="N417" s="309"/>
      <c r="O417" s="309"/>
      <c r="P417" s="275" t="s">
        <v>2593</v>
      </c>
    </row>
    <row r="418" spans="1:16" ht="133.05000000000001" hidden="1" customHeight="1">
      <c r="A418" s="23" t="s">
        <v>1431</v>
      </c>
      <c r="B418" s="3" t="s">
        <v>1432</v>
      </c>
      <c r="C418" s="3" t="s">
        <v>1483</v>
      </c>
      <c r="D418" s="7" t="s">
        <v>24</v>
      </c>
      <c r="E418" s="3">
        <v>2</v>
      </c>
      <c r="F418" s="4" t="s">
        <v>1494</v>
      </c>
      <c r="G418" s="4" t="s">
        <v>1495</v>
      </c>
      <c r="H418" s="11" t="s">
        <v>55</v>
      </c>
      <c r="I418" s="15" t="s">
        <v>1496</v>
      </c>
      <c r="J418" s="15" t="s">
        <v>1497</v>
      </c>
      <c r="K418" s="5" t="s">
        <v>31</v>
      </c>
      <c r="L418" s="5" t="s">
        <v>31</v>
      </c>
      <c r="M418" s="305"/>
      <c r="N418" s="309"/>
      <c r="O418" s="309"/>
      <c r="P418" s="275" t="s">
        <v>2593</v>
      </c>
    </row>
    <row r="419" spans="1:16" ht="55.2" hidden="1">
      <c r="A419" s="23" t="s">
        <v>1431</v>
      </c>
      <c r="B419" s="3" t="s">
        <v>1432</v>
      </c>
      <c r="C419" s="3" t="s">
        <v>1483</v>
      </c>
      <c r="D419" s="7" t="s">
        <v>24</v>
      </c>
      <c r="E419" s="3">
        <v>2</v>
      </c>
      <c r="F419" s="2" t="s">
        <v>1498</v>
      </c>
      <c r="G419" s="2" t="s">
        <v>1499</v>
      </c>
      <c r="H419" s="11" t="s">
        <v>55</v>
      </c>
      <c r="I419" s="15" t="s">
        <v>1500</v>
      </c>
      <c r="J419" s="15" t="s">
        <v>1501</v>
      </c>
      <c r="K419" s="5" t="s">
        <v>31</v>
      </c>
      <c r="L419" s="5" t="s">
        <v>31</v>
      </c>
      <c r="M419" s="305"/>
      <c r="N419" s="309"/>
      <c r="O419" s="309"/>
      <c r="P419" s="275" t="s">
        <v>2593</v>
      </c>
    </row>
    <row r="420" spans="1:16" ht="96" hidden="1" customHeight="1">
      <c r="A420" s="23" t="s">
        <v>1431</v>
      </c>
      <c r="B420" s="3" t="s">
        <v>1432</v>
      </c>
      <c r="C420" s="3" t="s">
        <v>1483</v>
      </c>
      <c r="D420" s="7" t="s">
        <v>24</v>
      </c>
      <c r="E420" s="3">
        <v>2</v>
      </c>
      <c r="F420" s="4" t="s">
        <v>1502</v>
      </c>
      <c r="G420" s="4" t="s">
        <v>1503</v>
      </c>
      <c r="H420" s="11" t="s">
        <v>55</v>
      </c>
      <c r="I420" s="15" t="s">
        <v>1504</v>
      </c>
      <c r="J420" s="15" t="s">
        <v>1505</v>
      </c>
      <c r="K420" s="5" t="s">
        <v>31</v>
      </c>
      <c r="L420" s="5" t="s">
        <v>31</v>
      </c>
      <c r="M420" s="305"/>
      <c r="N420" s="309"/>
      <c r="O420" s="309"/>
      <c r="P420" s="275" t="s">
        <v>2593</v>
      </c>
    </row>
    <row r="421" spans="1:16" ht="102" hidden="1" customHeight="1">
      <c r="A421" s="23" t="s">
        <v>1431</v>
      </c>
      <c r="B421" s="3" t="s">
        <v>1432</v>
      </c>
      <c r="C421" s="3" t="s">
        <v>1483</v>
      </c>
      <c r="D421" s="7" t="s">
        <v>24</v>
      </c>
      <c r="E421" s="3">
        <v>2</v>
      </c>
      <c r="F421" s="4" t="s">
        <v>1506</v>
      </c>
      <c r="G421" s="2" t="s">
        <v>1507</v>
      </c>
      <c r="H421" s="11" t="s">
        <v>21</v>
      </c>
      <c r="I421" s="15" t="s">
        <v>21</v>
      </c>
      <c r="J421" s="15" t="s">
        <v>1508</v>
      </c>
      <c r="K421" s="11" t="s">
        <v>21</v>
      </c>
      <c r="L421" s="5" t="s">
        <v>31</v>
      </c>
      <c r="M421" s="305"/>
      <c r="N421" s="309"/>
      <c r="O421" s="309"/>
      <c r="P421" s="275" t="s">
        <v>2593</v>
      </c>
    </row>
    <row r="422" spans="1:16" ht="79.95" hidden="1" customHeight="1">
      <c r="A422" s="23" t="s">
        <v>1431</v>
      </c>
      <c r="B422" s="3" t="s">
        <v>1432</v>
      </c>
      <c r="C422" s="3" t="s">
        <v>1483</v>
      </c>
      <c r="D422" s="8" t="s">
        <v>40</v>
      </c>
      <c r="E422" s="3">
        <v>3</v>
      </c>
      <c r="F422" s="2" t="s">
        <v>1509</v>
      </c>
      <c r="G422" s="2" t="s">
        <v>1510</v>
      </c>
      <c r="H422" s="11" t="s">
        <v>21</v>
      </c>
      <c r="I422" s="15" t="s">
        <v>21</v>
      </c>
      <c r="J422" s="15" t="s">
        <v>1511</v>
      </c>
      <c r="K422" s="11" t="s">
        <v>21</v>
      </c>
      <c r="L422" s="5" t="s">
        <v>31</v>
      </c>
      <c r="M422" s="305"/>
      <c r="N422" s="309"/>
      <c r="O422" s="309"/>
      <c r="P422" s="275"/>
    </row>
    <row r="423" spans="1:16" ht="146.55000000000001" hidden="1" customHeight="1">
      <c r="A423" s="23" t="s">
        <v>1431</v>
      </c>
      <c r="B423" s="3" t="s">
        <v>1432</v>
      </c>
      <c r="C423" s="3" t="s">
        <v>1483</v>
      </c>
      <c r="D423" s="8" t="s">
        <v>40</v>
      </c>
      <c r="E423" s="3">
        <v>3</v>
      </c>
      <c r="F423" s="4" t="s">
        <v>1512</v>
      </c>
      <c r="G423" s="4" t="s">
        <v>1513</v>
      </c>
      <c r="H423" s="11" t="s">
        <v>55</v>
      </c>
      <c r="I423" s="15" t="s">
        <v>1514</v>
      </c>
      <c r="J423" s="15" t="s">
        <v>1515</v>
      </c>
      <c r="K423" s="5" t="s">
        <v>31</v>
      </c>
      <c r="L423" s="5" t="s">
        <v>31</v>
      </c>
      <c r="M423" s="305"/>
      <c r="N423" s="309"/>
      <c r="O423" s="309"/>
      <c r="P423" s="275"/>
    </row>
    <row r="424" spans="1:16" ht="91.05" hidden="1" customHeight="1">
      <c r="A424" s="23" t="s">
        <v>1431</v>
      </c>
      <c r="B424" s="3" t="s">
        <v>1432</v>
      </c>
      <c r="C424" s="3" t="s">
        <v>1483</v>
      </c>
      <c r="D424" s="8" t="s">
        <v>40</v>
      </c>
      <c r="E424" s="3">
        <v>3</v>
      </c>
      <c r="F424" s="4" t="s">
        <v>1516</v>
      </c>
      <c r="G424" s="2" t="s">
        <v>1517</v>
      </c>
      <c r="H424" s="11" t="s">
        <v>21</v>
      </c>
      <c r="I424" s="15" t="s">
        <v>21</v>
      </c>
      <c r="J424" s="15" t="s">
        <v>1518</v>
      </c>
      <c r="K424" s="11" t="s">
        <v>21</v>
      </c>
      <c r="L424" s="5" t="s">
        <v>31</v>
      </c>
      <c r="M424" s="305"/>
      <c r="N424" s="309"/>
      <c r="O424" s="309"/>
      <c r="P424" s="275"/>
    </row>
    <row r="425" spans="1:16" ht="90" hidden="1" customHeight="1">
      <c r="A425" s="23" t="s">
        <v>1431</v>
      </c>
      <c r="B425" s="3" t="s">
        <v>1432</v>
      </c>
      <c r="C425" s="3" t="s">
        <v>1483</v>
      </c>
      <c r="D425" s="8" t="s">
        <v>40</v>
      </c>
      <c r="E425" s="3">
        <v>3</v>
      </c>
      <c r="F425" s="2" t="s">
        <v>1519</v>
      </c>
      <c r="G425" s="2" t="s">
        <v>1520</v>
      </c>
      <c r="H425" s="11" t="s">
        <v>21</v>
      </c>
      <c r="I425" s="15" t="s">
        <v>21</v>
      </c>
      <c r="J425" s="15" t="s">
        <v>1521</v>
      </c>
      <c r="K425" s="11" t="s">
        <v>21</v>
      </c>
      <c r="L425" s="5" t="s">
        <v>31</v>
      </c>
      <c r="M425" s="305"/>
      <c r="N425" s="309"/>
      <c r="O425" s="309"/>
      <c r="P425" s="275"/>
    </row>
    <row r="426" spans="1:16" ht="358.8" hidden="1">
      <c r="A426" s="23" t="s">
        <v>1431</v>
      </c>
      <c r="B426" s="3" t="s">
        <v>1432</v>
      </c>
      <c r="C426" s="3" t="s">
        <v>1483</v>
      </c>
      <c r="D426" s="12" t="s">
        <v>48</v>
      </c>
      <c r="E426" s="3">
        <v>4</v>
      </c>
      <c r="F426" s="4" t="s">
        <v>1522</v>
      </c>
      <c r="G426" s="4" t="s">
        <v>1523</v>
      </c>
      <c r="H426" s="11" t="s">
        <v>21</v>
      </c>
      <c r="I426" s="15" t="s">
        <v>21</v>
      </c>
      <c r="J426" s="15" t="s">
        <v>1524</v>
      </c>
      <c r="K426" s="11" t="s">
        <v>21</v>
      </c>
      <c r="L426" s="5" t="s">
        <v>31</v>
      </c>
      <c r="M426" s="305"/>
      <c r="N426" s="309"/>
      <c r="O426" s="309"/>
      <c r="P426" s="275"/>
    </row>
    <row r="427" spans="1:16" ht="124.2" hidden="1">
      <c r="A427" s="23" t="s">
        <v>1431</v>
      </c>
      <c r="B427" s="3" t="s">
        <v>1432</v>
      </c>
      <c r="C427" s="3" t="s">
        <v>1483</v>
      </c>
      <c r="D427" s="10" t="s">
        <v>52</v>
      </c>
      <c r="E427" s="3">
        <v>5</v>
      </c>
      <c r="F427" s="4" t="s">
        <v>1525</v>
      </c>
      <c r="G427" s="34" t="s">
        <v>1526</v>
      </c>
      <c r="H427" s="11" t="s">
        <v>21</v>
      </c>
      <c r="I427" s="15" t="s">
        <v>21</v>
      </c>
      <c r="J427" s="15" t="s">
        <v>1527</v>
      </c>
      <c r="K427" s="11" t="s">
        <v>21</v>
      </c>
      <c r="L427" s="5" t="s">
        <v>31</v>
      </c>
      <c r="M427" s="305"/>
      <c r="N427" s="309"/>
      <c r="O427" s="309"/>
      <c r="P427" s="275"/>
    </row>
    <row r="428" spans="1:16" ht="27.6" hidden="1">
      <c r="A428" s="3" t="s">
        <v>1528</v>
      </c>
      <c r="B428" s="3" t="s">
        <v>1529</v>
      </c>
      <c r="C428" s="3" t="s">
        <v>1530</v>
      </c>
      <c r="D428" s="6" t="s">
        <v>18</v>
      </c>
      <c r="E428" s="3">
        <v>1</v>
      </c>
      <c r="F428" s="4" t="s">
        <v>1531</v>
      </c>
      <c r="G428" s="4" t="s">
        <v>1532</v>
      </c>
      <c r="H428" s="11" t="s">
        <v>21</v>
      </c>
      <c r="I428" s="15" t="s">
        <v>21</v>
      </c>
      <c r="J428" s="15" t="s">
        <v>1533</v>
      </c>
      <c r="K428" s="11" t="s">
        <v>21</v>
      </c>
      <c r="L428" s="5" t="s">
        <v>31</v>
      </c>
      <c r="M428" s="305"/>
      <c r="N428" s="309" t="s">
        <v>2624</v>
      </c>
      <c r="O428" s="309"/>
      <c r="P428" s="275" t="s">
        <v>2584</v>
      </c>
    </row>
    <row r="429" spans="1:16" ht="96.6" hidden="1">
      <c r="A429" s="3" t="s">
        <v>1528</v>
      </c>
      <c r="B429" s="3" t="s">
        <v>1529</v>
      </c>
      <c r="C429" s="3" t="s">
        <v>1530</v>
      </c>
      <c r="D429" s="7" t="s">
        <v>24</v>
      </c>
      <c r="E429" s="3">
        <v>2</v>
      </c>
      <c r="F429" s="4" t="s">
        <v>1534</v>
      </c>
      <c r="G429" s="4" t="s">
        <v>1535</v>
      </c>
      <c r="H429" s="11" t="s">
        <v>27</v>
      </c>
      <c r="I429" s="15" t="s">
        <v>1536</v>
      </c>
      <c r="J429" s="15" t="s">
        <v>1537</v>
      </c>
      <c r="K429" s="5" t="s">
        <v>31</v>
      </c>
      <c r="L429" s="5" t="s">
        <v>31</v>
      </c>
      <c r="M429" s="305"/>
      <c r="N429" s="309" t="s">
        <v>2624</v>
      </c>
      <c r="O429" s="310"/>
      <c r="P429" s="275" t="s">
        <v>2584</v>
      </c>
    </row>
    <row r="430" spans="1:16" ht="151.80000000000001" hidden="1">
      <c r="A430" s="3" t="s">
        <v>1528</v>
      </c>
      <c r="B430" s="3" t="s">
        <v>1529</v>
      </c>
      <c r="C430" s="3" t="s">
        <v>1530</v>
      </c>
      <c r="D430" s="8" t="s">
        <v>40</v>
      </c>
      <c r="E430" s="3">
        <v>3</v>
      </c>
      <c r="F430" s="4" t="s">
        <v>1538</v>
      </c>
      <c r="G430" s="4" t="s">
        <v>1539</v>
      </c>
      <c r="H430" s="11" t="s">
        <v>21</v>
      </c>
      <c r="I430" s="15" t="s">
        <v>21</v>
      </c>
      <c r="J430" s="15" t="s">
        <v>1540</v>
      </c>
      <c r="K430" s="11" t="s">
        <v>21</v>
      </c>
      <c r="L430" s="5" t="s">
        <v>31</v>
      </c>
      <c r="M430" s="305"/>
      <c r="N430" s="309" t="s">
        <v>2624</v>
      </c>
      <c r="O430" s="309"/>
      <c r="P430" s="275" t="s">
        <v>2584</v>
      </c>
    </row>
    <row r="431" spans="1:16" ht="79.05" hidden="1" customHeight="1">
      <c r="A431" s="3" t="s">
        <v>1528</v>
      </c>
      <c r="B431" s="3" t="s">
        <v>1529</v>
      </c>
      <c r="C431" s="3" t="s">
        <v>1530</v>
      </c>
      <c r="D431" s="8" t="s">
        <v>40</v>
      </c>
      <c r="E431" s="3">
        <v>3</v>
      </c>
      <c r="F431" s="4" t="s">
        <v>1541</v>
      </c>
      <c r="G431" s="4" t="s">
        <v>1542</v>
      </c>
      <c r="H431" s="11" t="s">
        <v>21</v>
      </c>
      <c r="I431" s="15" t="s">
        <v>21</v>
      </c>
      <c r="J431" s="15" t="s">
        <v>1543</v>
      </c>
      <c r="K431" s="11" t="s">
        <v>21</v>
      </c>
      <c r="L431" s="5" t="s">
        <v>31</v>
      </c>
      <c r="M431" s="305"/>
      <c r="N431" s="309" t="s">
        <v>2624</v>
      </c>
      <c r="O431" s="309"/>
      <c r="P431" s="275" t="s">
        <v>2584</v>
      </c>
    </row>
    <row r="432" spans="1:16" ht="138" hidden="1">
      <c r="A432" s="3" t="s">
        <v>1528</v>
      </c>
      <c r="B432" s="3" t="s">
        <v>1529</v>
      </c>
      <c r="C432" s="3" t="s">
        <v>1530</v>
      </c>
      <c r="D432" s="8" t="s">
        <v>40</v>
      </c>
      <c r="E432" s="3">
        <v>3</v>
      </c>
      <c r="F432" s="4" t="s">
        <v>1544</v>
      </c>
      <c r="G432" s="4" t="s">
        <v>1545</v>
      </c>
      <c r="H432" s="11" t="s">
        <v>55</v>
      </c>
      <c r="I432" s="15" t="s">
        <v>1546</v>
      </c>
      <c r="J432" s="15" t="s">
        <v>1547</v>
      </c>
      <c r="K432" s="5" t="s">
        <v>31</v>
      </c>
      <c r="L432" s="5" t="s">
        <v>31</v>
      </c>
      <c r="M432" s="305"/>
      <c r="N432" s="309" t="s">
        <v>2624</v>
      </c>
      <c r="O432" s="309"/>
      <c r="P432" s="275" t="s">
        <v>2584</v>
      </c>
    </row>
    <row r="433" spans="1:16" ht="345" hidden="1">
      <c r="A433" s="3" t="s">
        <v>1528</v>
      </c>
      <c r="B433" s="3" t="s">
        <v>1529</v>
      </c>
      <c r="C433" s="3" t="s">
        <v>1530</v>
      </c>
      <c r="D433" s="12" t="s">
        <v>48</v>
      </c>
      <c r="E433" s="3">
        <v>4</v>
      </c>
      <c r="F433" s="4" t="s">
        <v>1548</v>
      </c>
      <c r="G433" s="4" t="s">
        <v>1549</v>
      </c>
      <c r="H433" s="11" t="s">
        <v>21</v>
      </c>
      <c r="I433" s="15" t="s">
        <v>21</v>
      </c>
      <c r="J433" s="15" t="s">
        <v>1550</v>
      </c>
      <c r="K433" s="11" t="s">
        <v>21</v>
      </c>
      <c r="L433" s="5" t="s">
        <v>31</v>
      </c>
      <c r="M433" s="305"/>
      <c r="N433" s="309" t="s">
        <v>2624</v>
      </c>
      <c r="O433" s="309"/>
      <c r="P433" s="275" t="s">
        <v>2584</v>
      </c>
    </row>
    <row r="434" spans="1:16" ht="110.4" hidden="1">
      <c r="A434" s="3" t="s">
        <v>1528</v>
      </c>
      <c r="B434" s="3" t="s">
        <v>1529</v>
      </c>
      <c r="C434" s="3" t="s">
        <v>1530</v>
      </c>
      <c r="D434" s="12" t="s">
        <v>48</v>
      </c>
      <c r="E434" s="3">
        <v>4</v>
      </c>
      <c r="F434" s="4" t="s">
        <v>1551</v>
      </c>
      <c r="G434" s="4" t="s">
        <v>1552</v>
      </c>
      <c r="H434" s="11" t="s">
        <v>55</v>
      </c>
      <c r="I434" s="15" t="s">
        <v>1553</v>
      </c>
      <c r="J434" s="15" t="s">
        <v>1554</v>
      </c>
      <c r="K434" s="5" t="s">
        <v>31</v>
      </c>
      <c r="L434" s="5" t="s">
        <v>31</v>
      </c>
      <c r="M434" s="305"/>
      <c r="N434" s="309" t="s">
        <v>2624</v>
      </c>
      <c r="O434" s="309"/>
      <c r="P434" s="275" t="s">
        <v>2584</v>
      </c>
    </row>
    <row r="435" spans="1:16" ht="96.6" hidden="1">
      <c r="A435" s="3" t="s">
        <v>1528</v>
      </c>
      <c r="B435" s="3" t="s">
        <v>1529</v>
      </c>
      <c r="C435" s="3" t="s">
        <v>1530</v>
      </c>
      <c r="D435" s="10" t="s">
        <v>52</v>
      </c>
      <c r="E435" s="3">
        <v>5</v>
      </c>
      <c r="F435" s="4" t="s">
        <v>1555</v>
      </c>
      <c r="G435" s="4" t="s">
        <v>1556</v>
      </c>
      <c r="H435" s="11" t="s">
        <v>21</v>
      </c>
      <c r="I435" s="15" t="s">
        <v>21</v>
      </c>
      <c r="J435" s="15" t="s">
        <v>1557</v>
      </c>
      <c r="K435" s="11" t="s">
        <v>21</v>
      </c>
      <c r="L435" s="5" t="s">
        <v>31</v>
      </c>
      <c r="M435" s="305"/>
      <c r="N435" s="309" t="s">
        <v>2624</v>
      </c>
      <c r="O435" s="309"/>
      <c r="P435" s="275" t="s">
        <v>2584</v>
      </c>
    </row>
    <row r="436" spans="1:16" ht="27.6" hidden="1">
      <c r="A436" s="3" t="s">
        <v>1528</v>
      </c>
      <c r="B436" s="3" t="s">
        <v>1529</v>
      </c>
      <c r="C436" s="3" t="s">
        <v>1558</v>
      </c>
      <c r="D436" s="6" t="s">
        <v>18</v>
      </c>
      <c r="E436" s="3">
        <v>1</v>
      </c>
      <c r="F436" s="4" t="s">
        <v>1559</v>
      </c>
      <c r="G436" s="4" t="s">
        <v>1560</v>
      </c>
      <c r="H436" s="11" t="s">
        <v>21</v>
      </c>
      <c r="I436" s="15" t="s">
        <v>21</v>
      </c>
      <c r="J436" s="15" t="s">
        <v>1561</v>
      </c>
      <c r="K436" s="11" t="s">
        <v>21</v>
      </c>
      <c r="L436" s="5" t="s">
        <v>31</v>
      </c>
      <c r="M436" s="305"/>
      <c r="N436" s="309" t="s">
        <v>2624</v>
      </c>
      <c r="O436" s="309"/>
      <c r="P436" s="275" t="s">
        <v>2584</v>
      </c>
    </row>
    <row r="437" spans="1:16" ht="69" hidden="1">
      <c r="A437" s="3" t="s">
        <v>1528</v>
      </c>
      <c r="B437" s="3" t="s">
        <v>1529</v>
      </c>
      <c r="C437" s="3" t="s">
        <v>1558</v>
      </c>
      <c r="D437" s="7" t="s">
        <v>24</v>
      </c>
      <c r="E437" s="3">
        <v>2</v>
      </c>
      <c r="F437" s="4" t="s">
        <v>1562</v>
      </c>
      <c r="G437" s="4" t="s">
        <v>1563</v>
      </c>
      <c r="H437" s="11" t="s">
        <v>27</v>
      </c>
      <c r="I437" s="15" t="s">
        <v>1564</v>
      </c>
      <c r="J437" s="15" t="s">
        <v>1565</v>
      </c>
      <c r="K437" s="5" t="s">
        <v>31</v>
      </c>
      <c r="L437" s="5" t="s">
        <v>31</v>
      </c>
      <c r="M437" s="305"/>
      <c r="N437" s="309" t="s">
        <v>2624</v>
      </c>
      <c r="O437" s="309"/>
      <c r="P437" s="275" t="s">
        <v>2584</v>
      </c>
    </row>
    <row r="438" spans="1:16" ht="165.6" hidden="1">
      <c r="A438" s="3" t="s">
        <v>1528</v>
      </c>
      <c r="B438" s="3" t="s">
        <v>1529</v>
      </c>
      <c r="C438" s="3" t="s">
        <v>1558</v>
      </c>
      <c r="D438" s="7" t="s">
        <v>24</v>
      </c>
      <c r="E438" s="3">
        <v>2</v>
      </c>
      <c r="F438" s="4" t="s">
        <v>1566</v>
      </c>
      <c r="G438" s="4" t="s">
        <v>1567</v>
      </c>
      <c r="H438" s="11" t="s">
        <v>21</v>
      </c>
      <c r="I438" s="15" t="s">
        <v>21</v>
      </c>
      <c r="J438" s="15" t="s">
        <v>1568</v>
      </c>
      <c r="K438" s="11" t="s">
        <v>21</v>
      </c>
      <c r="L438" s="5" t="s">
        <v>31</v>
      </c>
      <c r="M438" s="305"/>
      <c r="N438" s="309" t="s">
        <v>2624</v>
      </c>
      <c r="O438" s="309"/>
      <c r="P438" s="275" t="s">
        <v>2591</v>
      </c>
    </row>
    <row r="439" spans="1:16" ht="165" hidden="1" customHeight="1">
      <c r="A439" s="3" t="s">
        <v>1528</v>
      </c>
      <c r="B439" s="3" t="s">
        <v>1529</v>
      </c>
      <c r="C439" s="3" t="s">
        <v>1558</v>
      </c>
      <c r="D439" s="8" t="s">
        <v>40</v>
      </c>
      <c r="E439" s="3">
        <v>3</v>
      </c>
      <c r="F439" s="4" t="s">
        <v>1569</v>
      </c>
      <c r="G439" s="4" t="s">
        <v>1570</v>
      </c>
      <c r="H439" s="11" t="s">
        <v>27</v>
      </c>
      <c r="I439" s="15" t="s">
        <v>1571</v>
      </c>
      <c r="J439" s="15" t="s">
        <v>1572</v>
      </c>
      <c r="K439" s="5" t="s">
        <v>31</v>
      </c>
      <c r="L439" s="5" t="s">
        <v>31</v>
      </c>
      <c r="M439" s="305"/>
      <c r="N439" s="309" t="s">
        <v>2624</v>
      </c>
      <c r="O439" s="309"/>
      <c r="P439" s="275" t="s">
        <v>2584</v>
      </c>
    </row>
    <row r="440" spans="1:16" ht="409.6" hidden="1">
      <c r="A440" s="3" t="s">
        <v>1528</v>
      </c>
      <c r="B440" s="3" t="s">
        <v>1529</v>
      </c>
      <c r="C440" s="3" t="s">
        <v>1558</v>
      </c>
      <c r="D440" s="8" t="s">
        <v>40</v>
      </c>
      <c r="E440" s="3">
        <v>3</v>
      </c>
      <c r="F440" s="4" t="s">
        <v>1573</v>
      </c>
      <c r="G440" s="4" t="s">
        <v>1574</v>
      </c>
      <c r="H440" s="11" t="s">
        <v>181</v>
      </c>
      <c r="I440" s="15" t="s">
        <v>1575</v>
      </c>
      <c r="J440" s="15" t="s">
        <v>1576</v>
      </c>
      <c r="K440" s="5" t="s">
        <v>31</v>
      </c>
      <c r="L440" s="5" t="s">
        <v>31</v>
      </c>
      <c r="M440" s="305">
        <v>1</v>
      </c>
      <c r="N440" s="309" t="s">
        <v>2624</v>
      </c>
      <c r="O440" s="309"/>
      <c r="P440" s="275" t="s">
        <v>2584</v>
      </c>
    </row>
    <row r="441" spans="1:16" ht="96.6" hidden="1">
      <c r="A441" s="3" t="s">
        <v>1528</v>
      </c>
      <c r="B441" s="3" t="s">
        <v>1529</v>
      </c>
      <c r="C441" s="3" t="s">
        <v>1558</v>
      </c>
      <c r="D441" s="8" t="s">
        <v>40</v>
      </c>
      <c r="E441" s="3">
        <v>3</v>
      </c>
      <c r="F441" s="4" t="s">
        <v>1577</v>
      </c>
      <c r="G441" s="4" t="s">
        <v>1578</v>
      </c>
      <c r="H441" s="11" t="s">
        <v>27</v>
      </c>
      <c r="I441" s="15" t="s">
        <v>1579</v>
      </c>
      <c r="J441" s="15" t="s">
        <v>1580</v>
      </c>
      <c r="K441" s="5" t="s">
        <v>31</v>
      </c>
      <c r="L441" s="5" t="s">
        <v>31</v>
      </c>
      <c r="M441" s="305"/>
      <c r="N441" s="309" t="s">
        <v>2624</v>
      </c>
      <c r="O441" s="309"/>
      <c r="P441" s="275" t="s">
        <v>2584</v>
      </c>
    </row>
    <row r="442" spans="1:16" ht="124.2" hidden="1">
      <c r="A442" s="3" t="s">
        <v>1528</v>
      </c>
      <c r="B442" s="3" t="s">
        <v>1529</v>
      </c>
      <c r="C442" s="3" t="s">
        <v>1558</v>
      </c>
      <c r="D442" s="8" t="s">
        <v>40</v>
      </c>
      <c r="E442" s="3">
        <v>3</v>
      </c>
      <c r="F442" s="4" t="s">
        <v>1581</v>
      </c>
      <c r="G442" s="4" t="s">
        <v>1582</v>
      </c>
      <c r="H442" s="11" t="s">
        <v>21</v>
      </c>
      <c r="I442" s="15" t="s">
        <v>21</v>
      </c>
      <c r="J442" s="15" t="s">
        <v>1583</v>
      </c>
      <c r="K442" s="11" t="s">
        <v>21</v>
      </c>
      <c r="L442" s="5" t="s">
        <v>31</v>
      </c>
      <c r="M442" s="305"/>
      <c r="N442" s="309" t="s">
        <v>2624</v>
      </c>
      <c r="O442" s="309"/>
      <c r="P442" s="275" t="s">
        <v>2584</v>
      </c>
    </row>
    <row r="443" spans="1:16" ht="69" hidden="1">
      <c r="A443" s="3" t="s">
        <v>1528</v>
      </c>
      <c r="B443" s="3" t="s">
        <v>1529</v>
      </c>
      <c r="C443" s="3" t="s">
        <v>1558</v>
      </c>
      <c r="D443" s="8" t="s">
        <v>40</v>
      </c>
      <c r="E443" s="3">
        <v>3</v>
      </c>
      <c r="F443" s="4" t="s">
        <v>1584</v>
      </c>
      <c r="G443" s="4" t="s">
        <v>1585</v>
      </c>
      <c r="H443" s="11" t="s">
        <v>181</v>
      </c>
      <c r="I443" s="15" t="s">
        <v>1575</v>
      </c>
      <c r="J443" s="15" t="s">
        <v>1586</v>
      </c>
      <c r="K443" s="5" t="s">
        <v>31</v>
      </c>
      <c r="L443" s="5" t="s">
        <v>31</v>
      </c>
      <c r="M443" s="305">
        <v>1</v>
      </c>
      <c r="N443" s="309" t="s">
        <v>2624</v>
      </c>
      <c r="O443" s="309"/>
      <c r="P443" s="275" t="s">
        <v>2584</v>
      </c>
    </row>
    <row r="444" spans="1:16" ht="55.2" hidden="1">
      <c r="A444" s="3" t="s">
        <v>1528</v>
      </c>
      <c r="B444" s="3" t="s">
        <v>1529</v>
      </c>
      <c r="C444" s="3" t="s">
        <v>1558</v>
      </c>
      <c r="D444" s="8" t="s">
        <v>40</v>
      </c>
      <c r="E444" s="3">
        <v>3</v>
      </c>
      <c r="F444" s="4" t="s">
        <v>1587</v>
      </c>
      <c r="G444" s="4" t="s">
        <v>1588</v>
      </c>
      <c r="H444" s="11" t="s">
        <v>55</v>
      </c>
      <c r="I444" s="15" t="s">
        <v>1589</v>
      </c>
      <c r="J444" s="15" t="s">
        <v>1590</v>
      </c>
      <c r="K444" s="5" t="s">
        <v>31</v>
      </c>
      <c r="L444" s="5" t="s">
        <v>31</v>
      </c>
      <c r="M444" s="305"/>
      <c r="N444" s="309" t="s">
        <v>2624</v>
      </c>
      <c r="O444" s="309"/>
      <c r="P444" s="275" t="s">
        <v>2584</v>
      </c>
    </row>
    <row r="445" spans="1:16" ht="110.4" hidden="1">
      <c r="A445" s="3" t="s">
        <v>1528</v>
      </c>
      <c r="B445" s="3" t="s">
        <v>1529</v>
      </c>
      <c r="C445" s="3" t="s">
        <v>1558</v>
      </c>
      <c r="D445" s="8" t="s">
        <v>40</v>
      </c>
      <c r="E445" s="3">
        <v>3</v>
      </c>
      <c r="F445" s="4" t="s">
        <v>1591</v>
      </c>
      <c r="G445" s="4" t="s">
        <v>1592</v>
      </c>
      <c r="H445" s="11" t="s">
        <v>181</v>
      </c>
      <c r="I445" s="15" t="s">
        <v>1593</v>
      </c>
      <c r="J445" s="15" t="s">
        <v>1594</v>
      </c>
      <c r="K445" s="5" t="s">
        <v>31</v>
      </c>
      <c r="L445" s="5" t="s">
        <v>31</v>
      </c>
      <c r="M445" s="305"/>
      <c r="N445" s="309" t="s">
        <v>2624</v>
      </c>
      <c r="O445" s="309"/>
      <c r="P445" s="275" t="s">
        <v>2584</v>
      </c>
    </row>
    <row r="446" spans="1:16" ht="345" hidden="1">
      <c r="A446" s="3" t="s">
        <v>1528</v>
      </c>
      <c r="B446" s="3" t="s">
        <v>1529</v>
      </c>
      <c r="C446" s="3" t="s">
        <v>1558</v>
      </c>
      <c r="D446" s="12" t="s">
        <v>48</v>
      </c>
      <c r="E446" s="3">
        <v>4</v>
      </c>
      <c r="F446" s="4" t="s">
        <v>1595</v>
      </c>
      <c r="G446" s="4" t="s">
        <v>1596</v>
      </c>
      <c r="H446" s="11" t="s">
        <v>21</v>
      </c>
      <c r="I446" s="15" t="s">
        <v>21</v>
      </c>
      <c r="J446" s="15" t="s">
        <v>1586</v>
      </c>
      <c r="K446" s="11" t="s">
        <v>21</v>
      </c>
      <c r="L446" s="5" t="s">
        <v>31</v>
      </c>
      <c r="M446" s="305"/>
      <c r="N446" s="309" t="s">
        <v>2624</v>
      </c>
      <c r="O446" s="309"/>
      <c r="P446" s="275" t="s">
        <v>2584</v>
      </c>
    </row>
    <row r="447" spans="1:16" ht="82.8" hidden="1">
      <c r="A447" s="3" t="s">
        <v>1528</v>
      </c>
      <c r="B447" s="3" t="s">
        <v>1529</v>
      </c>
      <c r="C447" s="3" t="s">
        <v>1558</v>
      </c>
      <c r="D447" s="10" t="s">
        <v>52</v>
      </c>
      <c r="E447" s="3">
        <v>5</v>
      </c>
      <c r="F447" s="4" t="s">
        <v>1597</v>
      </c>
      <c r="G447" s="4" t="s">
        <v>1598</v>
      </c>
      <c r="H447" s="11" t="s">
        <v>21</v>
      </c>
      <c r="I447" s="15" t="s">
        <v>21</v>
      </c>
      <c r="J447" s="15" t="s">
        <v>1599</v>
      </c>
      <c r="K447" s="11" t="s">
        <v>21</v>
      </c>
      <c r="L447" s="5" t="s">
        <v>31</v>
      </c>
      <c r="M447" s="305"/>
      <c r="N447" s="309" t="s">
        <v>2624</v>
      </c>
      <c r="O447" s="309"/>
      <c r="P447" s="275" t="s">
        <v>2584</v>
      </c>
    </row>
    <row r="448" spans="1:16" ht="96.6" hidden="1">
      <c r="A448" s="3" t="s">
        <v>1528</v>
      </c>
      <c r="B448" s="3" t="s">
        <v>1529</v>
      </c>
      <c r="C448" s="3" t="s">
        <v>1558</v>
      </c>
      <c r="D448" s="10" t="s">
        <v>52</v>
      </c>
      <c r="E448" s="3">
        <v>5</v>
      </c>
      <c r="F448" s="4" t="s">
        <v>1600</v>
      </c>
      <c r="G448" s="4" t="s">
        <v>1601</v>
      </c>
      <c r="H448" s="11" t="s">
        <v>21</v>
      </c>
      <c r="I448" s="15" t="s">
        <v>21</v>
      </c>
      <c r="J448" s="15" t="s">
        <v>1602</v>
      </c>
      <c r="K448" s="11" t="s">
        <v>21</v>
      </c>
      <c r="L448" s="5" t="s">
        <v>31</v>
      </c>
      <c r="M448" s="305"/>
      <c r="N448" s="309" t="s">
        <v>2624</v>
      </c>
      <c r="O448" s="309"/>
      <c r="P448" s="275" t="s">
        <v>2584</v>
      </c>
    </row>
    <row r="449" spans="1:16" ht="82.8" hidden="1">
      <c r="A449" s="3" t="s">
        <v>1603</v>
      </c>
      <c r="B449" s="3" t="s">
        <v>1604</v>
      </c>
      <c r="C449" s="3" t="s">
        <v>1605</v>
      </c>
      <c r="D449" s="6" t="s">
        <v>18</v>
      </c>
      <c r="E449" s="3">
        <v>1</v>
      </c>
      <c r="F449" s="4" t="s">
        <v>1606</v>
      </c>
      <c r="G449" s="4" t="s">
        <v>1607</v>
      </c>
      <c r="H449" s="11" t="s">
        <v>21</v>
      </c>
      <c r="I449" s="15" t="s">
        <v>21</v>
      </c>
      <c r="J449" s="15" t="s">
        <v>1608</v>
      </c>
      <c r="K449" s="11" t="s">
        <v>21</v>
      </c>
      <c r="L449" s="5" t="s">
        <v>31</v>
      </c>
      <c r="M449" s="305"/>
      <c r="N449" s="309"/>
      <c r="O449" s="309"/>
      <c r="P449" s="275" t="s">
        <v>2584</v>
      </c>
    </row>
    <row r="450" spans="1:16" ht="115.5" hidden="1" customHeight="1">
      <c r="A450" s="3" t="s">
        <v>1603</v>
      </c>
      <c r="B450" s="3" t="s">
        <v>1604</v>
      </c>
      <c r="C450" s="3" t="s">
        <v>1605</v>
      </c>
      <c r="D450" s="7" t="s">
        <v>24</v>
      </c>
      <c r="E450" s="3">
        <v>2</v>
      </c>
      <c r="F450" s="4" t="s">
        <v>1609</v>
      </c>
      <c r="G450" s="4" t="s">
        <v>1610</v>
      </c>
      <c r="H450" s="11" t="s">
        <v>21</v>
      </c>
      <c r="I450" s="15" t="s">
        <v>21</v>
      </c>
      <c r="J450" s="15" t="s">
        <v>1611</v>
      </c>
      <c r="K450" s="11" t="s">
        <v>21</v>
      </c>
      <c r="L450" s="5" t="s">
        <v>31</v>
      </c>
      <c r="M450" s="305"/>
      <c r="N450" s="310"/>
      <c r="O450" s="310"/>
      <c r="P450" s="275" t="s">
        <v>2584</v>
      </c>
    </row>
    <row r="451" spans="1:16" ht="96.6" hidden="1">
      <c r="A451" s="3" t="s">
        <v>1603</v>
      </c>
      <c r="B451" s="3" t="s">
        <v>1604</v>
      </c>
      <c r="C451" s="3" t="s">
        <v>1605</v>
      </c>
      <c r="D451" s="7" t="s">
        <v>24</v>
      </c>
      <c r="E451" s="3">
        <v>2</v>
      </c>
      <c r="F451" s="4" t="s">
        <v>1612</v>
      </c>
      <c r="G451" s="4" t="s">
        <v>1613</v>
      </c>
      <c r="H451" s="11" t="s">
        <v>27</v>
      </c>
      <c r="I451" s="15" t="s">
        <v>1614</v>
      </c>
      <c r="J451" s="15" t="s">
        <v>1615</v>
      </c>
      <c r="K451" s="5" t="s">
        <v>23</v>
      </c>
      <c r="L451" s="5" t="s">
        <v>23</v>
      </c>
      <c r="M451" s="305"/>
      <c r="N451" s="310"/>
      <c r="O451" s="310" t="s">
        <v>2518</v>
      </c>
      <c r="P451" s="275" t="s">
        <v>2584</v>
      </c>
    </row>
    <row r="452" spans="1:16" ht="55.2" hidden="1">
      <c r="A452" s="3" t="s">
        <v>1603</v>
      </c>
      <c r="B452" s="3" t="s">
        <v>1604</v>
      </c>
      <c r="C452" s="3" t="s">
        <v>1605</v>
      </c>
      <c r="D452" s="7" t="s">
        <v>24</v>
      </c>
      <c r="E452" s="3">
        <v>2</v>
      </c>
      <c r="F452" s="4" t="s">
        <v>1616</v>
      </c>
      <c r="G452" s="4" t="s">
        <v>1617</v>
      </c>
      <c r="H452" s="11" t="s">
        <v>21</v>
      </c>
      <c r="I452" s="15" t="s">
        <v>21</v>
      </c>
      <c r="J452" s="15" t="s">
        <v>1618</v>
      </c>
      <c r="K452" s="11" t="s">
        <v>21</v>
      </c>
      <c r="L452" s="5" t="s">
        <v>31</v>
      </c>
      <c r="M452" s="305"/>
      <c r="N452" s="310"/>
      <c r="O452" s="310"/>
      <c r="P452" s="275" t="s">
        <v>2584</v>
      </c>
    </row>
    <row r="453" spans="1:16" ht="96.6" hidden="1">
      <c r="A453" s="3" t="s">
        <v>1603</v>
      </c>
      <c r="B453" s="3" t="s">
        <v>1604</v>
      </c>
      <c r="C453" s="3" t="s">
        <v>1605</v>
      </c>
      <c r="D453" s="7" t="s">
        <v>24</v>
      </c>
      <c r="E453" s="3">
        <v>2</v>
      </c>
      <c r="F453" s="4" t="s">
        <v>1619</v>
      </c>
      <c r="G453" s="4" t="s">
        <v>1620</v>
      </c>
      <c r="H453" s="11" t="s">
        <v>55</v>
      </c>
      <c r="I453" s="15" t="s">
        <v>1621</v>
      </c>
      <c r="J453" s="15" t="s">
        <v>1622</v>
      </c>
      <c r="K453" s="5" t="s">
        <v>31</v>
      </c>
      <c r="L453" s="5" t="s">
        <v>31</v>
      </c>
      <c r="M453" s="305"/>
      <c r="N453" s="309"/>
      <c r="O453" s="309"/>
      <c r="P453" s="275" t="s">
        <v>2584</v>
      </c>
    </row>
    <row r="454" spans="1:16" ht="151.80000000000001" hidden="1">
      <c r="A454" s="3" t="s">
        <v>1603</v>
      </c>
      <c r="B454" s="3" t="s">
        <v>1604</v>
      </c>
      <c r="C454" s="3" t="s">
        <v>1605</v>
      </c>
      <c r="D454" s="7" t="s">
        <v>24</v>
      </c>
      <c r="E454" s="3">
        <v>2</v>
      </c>
      <c r="F454" s="4" t="s">
        <v>1623</v>
      </c>
      <c r="G454" s="4" t="s">
        <v>1624</v>
      </c>
      <c r="H454" s="11" t="s">
        <v>21</v>
      </c>
      <c r="I454" s="15" t="s">
        <v>21</v>
      </c>
      <c r="J454" s="15" t="s">
        <v>1625</v>
      </c>
      <c r="K454" s="11" t="s">
        <v>21</v>
      </c>
      <c r="L454" s="5" t="s">
        <v>31</v>
      </c>
      <c r="M454" s="305"/>
      <c r="N454" s="309"/>
      <c r="O454" s="309"/>
      <c r="P454" s="275" t="s">
        <v>2584</v>
      </c>
    </row>
    <row r="455" spans="1:16" ht="151.80000000000001" hidden="1">
      <c r="A455" s="3" t="s">
        <v>1603</v>
      </c>
      <c r="B455" s="3" t="s">
        <v>1604</v>
      </c>
      <c r="C455" s="3" t="s">
        <v>1605</v>
      </c>
      <c r="D455" s="8" t="s">
        <v>40</v>
      </c>
      <c r="E455" s="3">
        <v>3</v>
      </c>
      <c r="F455" s="4" t="s">
        <v>1626</v>
      </c>
      <c r="G455" s="4" t="s">
        <v>1627</v>
      </c>
      <c r="H455" s="11" t="s">
        <v>21</v>
      </c>
      <c r="I455" s="15" t="s">
        <v>21</v>
      </c>
      <c r="J455" s="15" t="s">
        <v>1628</v>
      </c>
      <c r="K455" s="11" t="s">
        <v>21</v>
      </c>
      <c r="L455" s="5" t="s">
        <v>31</v>
      </c>
      <c r="M455" s="305"/>
      <c r="N455" s="309"/>
      <c r="O455" s="309"/>
      <c r="P455" s="275" t="s">
        <v>2584</v>
      </c>
    </row>
    <row r="456" spans="1:16" ht="67.05" hidden="1" customHeight="1">
      <c r="A456" s="3" t="s">
        <v>1603</v>
      </c>
      <c r="B456" s="3" t="s">
        <v>1604</v>
      </c>
      <c r="C456" s="3" t="s">
        <v>1605</v>
      </c>
      <c r="D456" s="8" t="s">
        <v>40</v>
      </c>
      <c r="E456" s="3">
        <v>3</v>
      </c>
      <c r="F456" s="4" t="s">
        <v>1629</v>
      </c>
      <c r="G456" s="4" t="s">
        <v>1630</v>
      </c>
      <c r="H456" s="11" t="s">
        <v>21</v>
      </c>
      <c r="I456" s="15" t="s">
        <v>21</v>
      </c>
      <c r="J456" s="15" t="s">
        <v>1631</v>
      </c>
      <c r="K456" s="11" t="s">
        <v>21</v>
      </c>
      <c r="L456" s="5" t="s">
        <v>31</v>
      </c>
      <c r="M456" s="305"/>
      <c r="N456" s="309"/>
      <c r="O456" s="309"/>
      <c r="P456" s="275" t="s">
        <v>2584</v>
      </c>
    </row>
    <row r="457" spans="1:16" ht="69" hidden="1">
      <c r="A457" s="3" t="s">
        <v>1603</v>
      </c>
      <c r="B457" s="3" t="s">
        <v>1604</v>
      </c>
      <c r="C457" s="3" t="s">
        <v>1605</v>
      </c>
      <c r="D457" s="8" t="s">
        <v>40</v>
      </c>
      <c r="E457" s="3">
        <v>3</v>
      </c>
      <c r="F457" s="4" t="s">
        <v>1632</v>
      </c>
      <c r="G457" s="4" t="s">
        <v>1633</v>
      </c>
      <c r="H457" s="11" t="s">
        <v>21</v>
      </c>
      <c r="I457" s="15" t="s">
        <v>21</v>
      </c>
      <c r="J457" s="15" t="s">
        <v>1634</v>
      </c>
      <c r="K457" s="11" t="s">
        <v>21</v>
      </c>
      <c r="L457" s="5" t="s">
        <v>31</v>
      </c>
      <c r="M457" s="305"/>
      <c r="N457" s="309"/>
      <c r="O457" s="309"/>
      <c r="P457" s="275" t="s">
        <v>2584</v>
      </c>
    </row>
    <row r="458" spans="1:16" ht="69" hidden="1">
      <c r="A458" s="3" t="s">
        <v>1603</v>
      </c>
      <c r="B458" s="3" t="s">
        <v>1604</v>
      </c>
      <c r="C458" s="3" t="s">
        <v>1605</v>
      </c>
      <c r="D458" s="8" t="s">
        <v>40</v>
      </c>
      <c r="E458" s="3">
        <v>3</v>
      </c>
      <c r="F458" s="4" t="s">
        <v>1635</v>
      </c>
      <c r="G458" s="4" t="s">
        <v>1636</v>
      </c>
      <c r="H458" s="11" t="s">
        <v>21</v>
      </c>
      <c r="I458" s="15" t="s">
        <v>21</v>
      </c>
      <c r="J458" s="15" t="s">
        <v>1637</v>
      </c>
      <c r="K458" s="11" t="s">
        <v>21</v>
      </c>
      <c r="L458" s="5" t="s">
        <v>31</v>
      </c>
      <c r="M458" s="305"/>
      <c r="N458" s="309"/>
      <c r="O458" s="309"/>
      <c r="P458" s="275" t="s">
        <v>2584</v>
      </c>
    </row>
    <row r="459" spans="1:16" ht="358.8" hidden="1">
      <c r="A459" s="3" t="s">
        <v>1603</v>
      </c>
      <c r="B459" s="3" t="s">
        <v>1604</v>
      </c>
      <c r="C459" s="3" t="s">
        <v>1605</v>
      </c>
      <c r="D459" s="12" t="s">
        <v>48</v>
      </c>
      <c r="E459" s="3">
        <v>4</v>
      </c>
      <c r="F459" s="4" t="s">
        <v>1638</v>
      </c>
      <c r="G459" s="4" t="s">
        <v>1639</v>
      </c>
      <c r="H459" s="11" t="s">
        <v>55</v>
      </c>
      <c r="I459" s="15" t="s">
        <v>1640</v>
      </c>
      <c r="J459" s="15" t="s">
        <v>1641</v>
      </c>
      <c r="K459" s="5" t="s">
        <v>31</v>
      </c>
      <c r="L459" s="5" t="s">
        <v>31</v>
      </c>
      <c r="M459" s="305">
        <v>1</v>
      </c>
      <c r="N459" s="309"/>
      <c r="O459" s="309"/>
      <c r="P459" s="275" t="s">
        <v>2584</v>
      </c>
    </row>
    <row r="460" spans="1:16" ht="96.6" hidden="1">
      <c r="A460" s="3" t="s">
        <v>1603</v>
      </c>
      <c r="B460" s="3" t="s">
        <v>1604</v>
      </c>
      <c r="C460" s="3" t="s">
        <v>1605</v>
      </c>
      <c r="D460" s="10" t="s">
        <v>52</v>
      </c>
      <c r="E460" s="3">
        <v>5</v>
      </c>
      <c r="F460" s="4" t="s">
        <v>1642</v>
      </c>
      <c r="G460" s="4" t="s">
        <v>1643</v>
      </c>
      <c r="H460" s="11" t="s">
        <v>21</v>
      </c>
      <c r="I460" s="15" t="s">
        <v>21</v>
      </c>
      <c r="J460" s="15" t="s">
        <v>1644</v>
      </c>
      <c r="K460" s="11" t="s">
        <v>21</v>
      </c>
      <c r="L460" s="5" t="s">
        <v>31</v>
      </c>
      <c r="M460" s="305"/>
      <c r="N460" s="309"/>
      <c r="O460" s="309"/>
      <c r="P460" s="275" t="s">
        <v>2584</v>
      </c>
    </row>
    <row r="461" spans="1:16" ht="27.6" hidden="1">
      <c r="A461" s="3" t="s">
        <v>1603</v>
      </c>
      <c r="B461" s="3" t="s">
        <v>1604</v>
      </c>
      <c r="C461" s="3" t="s">
        <v>1645</v>
      </c>
      <c r="D461" s="6" t="s">
        <v>18</v>
      </c>
      <c r="E461" s="3">
        <v>1</v>
      </c>
      <c r="F461" s="4" t="s">
        <v>1646</v>
      </c>
      <c r="G461" s="4" t="s">
        <v>1647</v>
      </c>
      <c r="H461" s="11" t="s">
        <v>21</v>
      </c>
      <c r="I461" s="15" t="s">
        <v>21</v>
      </c>
      <c r="J461" s="15" t="s">
        <v>1648</v>
      </c>
      <c r="K461" s="11" t="s">
        <v>21</v>
      </c>
      <c r="L461" s="5" t="s">
        <v>31</v>
      </c>
      <c r="M461" s="305"/>
      <c r="N461" s="309"/>
      <c r="O461" s="309"/>
      <c r="P461" s="275" t="s">
        <v>2584</v>
      </c>
    </row>
    <row r="462" spans="1:16" ht="110.4" hidden="1">
      <c r="A462" s="3" t="s">
        <v>1603</v>
      </c>
      <c r="B462" s="3" t="s">
        <v>1604</v>
      </c>
      <c r="C462" s="3" t="s">
        <v>1645</v>
      </c>
      <c r="D462" s="7" t="s">
        <v>24</v>
      </c>
      <c r="E462" s="3">
        <v>2</v>
      </c>
      <c r="F462" s="4" t="s">
        <v>1649</v>
      </c>
      <c r="G462" s="4" t="s">
        <v>1650</v>
      </c>
      <c r="H462" s="11" t="s">
        <v>27</v>
      </c>
      <c r="I462" s="15" t="s">
        <v>1651</v>
      </c>
      <c r="J462" s="15" t="s">
        <v>1652</v>
      </c>
      <c r="K462" s="5" t="s">
        <v>31</v>
      </c>
      <c r="L462" s="5" t="s">
        <v>31</v>
      </c>
      <c r="M462" s="305"/>
      <c r="N462" s="310"/>
      <c r="O462" s="310"/>
      <c r="P462" s="275" t="s">
        <v>2584</v>
      </c>
    </row>
    <row r="463" spans="1:16" ht="151.80000000000001" hidden="1">
      <c r="A463" s="3" t="s">
        <v>1603</v>
      </c>
      <c r="B463" s="3" t="s">
        <v>1604</v>
      </c>
      <c r="C463" s="3" t="s">
        <v>1645</v>
      </c>
      <c r="D463" s="7" t="s">
        <v>24</v>
      </c>
      <c r="E463" s="3">
        <v>2</v>
      </c>
      <c r="F463" s="4" t="s">
        <v>1653</v>
      </c>
      <c r="G463" s="4" t="s">
        <v>1654</v>
      </c>
      <c r="H463" s="11" t="s">
        <v>21</v>
      </c>
      <c r="I463" s="15" t="s">
        <v>21</v>
      </c>
      <c r="J463" s="15" t="s">
        <v>1655</v>
      </c>
      <c r="K463" s="11" t="s">
        <v>21</v>
      </c>
      <c r="L463" s="5" t="s">
        <v>31</v>
      </c>
      <c r="M463" s="305"/>
      <c r="N463" s="310"/>
      <c r="O463" s="310"/>
      <c r="P463" s="275" t="s">
        <v>2584</v>
      </c>
    </row>
    <row r="464" spans="1:16" ht="179.4" hidden="1">
      <c r="A464" s="3" t="s">
        <v>1603</v>
      </c>
      <c r="B464" s="3" t="s">
        <v>1604</v>
      </c>
      <c r="C464" s="3" t="s">
        <v>1645</v>
      </c>
      <c r="D464" s="7" t="s">
        <v>24</v>
      </c>
      <c r="E464" s="3">
        <v>2</v>
      </c>
      <c r="F464" s="4" t="s">
        <v>1656</v>
      </c>
      <c r="G464" s="4" t="s">
        <v>1657</v>
      </c>
      <c r="H464" s="11" t="s">
        <v>21</v>
      </c>
      <c r="I464" s="15" t="s">
        <v>21</v>
      </c>
      <c r="J464" s="15" t="s">
        <v>1658</v>
      </c>
      <c r="K464" s="11" t="s">
        <v>21</v>
      </c>
      <c r="L464" s="5" t="s">
        <v>31</v>
      </c>
      <c r="M464" s="305"/>
      <c r="N464" s="310"/>
      <c r="O464" s="310"/>
      <c r="P464" s="275" t="s">
        <v>2584</v>
      </c>
    </row>
    <row r="465" spans="1:16" ht="83.55" hidden="1" customHeight="1">
      <c r="A465" s="3" t="s">
        <v>1603</v>
      </c>
      <c r="B465" s="3" t="s">
        <v>1604</v>
      </c>
      <c r="C465" s="3" t="s">
        <v>1645</v>
      </c>
      <c r="D465" s="8" t="s">
        <v>40</v>
      </c>
      <c r="E465" s="3">
        <v>3</v>
      </c>
      <c r="F465" s="4" t="s">
        <v>1659</v>
      </c>
      <c r="G465" s="4" t="s">
        <v>1660</v>
      </c>
      <c r="H465" s="11" t="s">
        <v>21</v>
      </c>
      <c r="I465" s="15" t="s">
        <v>21</v>
      </c>
      <c r="J465" s="15" t="s">
        <v>1661</v>
      </c>
      <c r="K465" s="11" t="s">
        <v>21</v>
      </c>
      <c r="L465" s="5" t="s">
        <v>31</v>
      </c>
      <c r="M465" s="305"/>
      <c r="N465" s="309"/>
      <c r="O465" s="309"/>
      <c r="P465" s="275" t="s">
        <v>2584</v>
      </c>
    </row>
    <row r="466" spans="1:16" ht="166.95" hidden="1" customHeight="1">
      <c r="A466" s="3" t="s">
        <v>1603</v>
      </c>
      <c r="B466" s="3" t="s">
        <v>1604</v>
      </c>
      <c r="C466" s="3" t="s">
        <v>1645</v>
      </c>
      <c r="D466" s="8" t="s">
        <v>40</v>
      </c>
      <c r="E466" s="3">
        <v>3</v>
      </c>
      <c r="F466" s="4" t="s">
        <v>1662</v>
      </c>
      <c r="G466" s="4" t="s">
        <v>1663</v>
      </c>
      <c r="H466" s="11" t="s">
        <v>27</v>
      </c>
      <c r="I466" s="15" t="s">
        <v>1664</v>
      </c>
      <c r="J466" s="15" t="s">
        <v>1665</v>
      </c>
      <c r="K466" s="5" t="s">
        <v>31</v>
      </c>
      <c r="L466" s="5" t="s">
        <v>31</v>
      </c>
      <c r="M466" s="305">
        <v>1</v>
      </c>
      <c r="N466" s="309"/>
      <c r="O466" s="309"/>
      <c r="P466" s="275" t="s">
        <v>2584</v>
      </c>
    </row>
    <row r="467" spans="1:16" ht="220.8" hidden="1">
      <c r="A467" s="3" t="s">
        <v>1603</v>
      </c>
      <c r="B467" s="3" t="s">
        <v>1604</v>
      </c>
      <c r="C467" s="3" t="s">
        <v>1645</v>
      </c>
      <c r="D467" s="8" t="s">
        <v>40</v>
      </c>
      <c r="E467" s="3">
        <v>3</v>
      </c>
      <c r="F467" s="4" t="s">
        <v>1666</v>
      </c>
      <c r="G467" s="4" t="s">
        <v>1667</v>
      </c>
      <c r="H467" s="11" t="s">
        <v>55</v>
      </c>
      <c r="I467" s="15" t="s">
        <v>1668</v>
      </c>
      <c r="J467" s="15" t="s">
        <v>1669</v>
      </c>
      <c r="K467" s="5" t="s">
        <v>31</v>
      </c>
      <c r="L467" s="5" t="s">
        <v>31</v>
      </c>
      <c r="M467" s="305"/>
      <c r="N467" s="309"/>
      <c r="O467" s="309"/>
      <c r="P467" s="275" t="s">
        <v>2584</v>
      </c>
    </row>
    <row r="468" spans="1:16" ht="154.05000000000001" hidden="1" customHeight="1">
      <c r="A468" s="3" t="s">
        <v>1603</v>
      </c>
      <c r="B468" s="3" t="s">
        <v>1604</v>
      </c>
      <c r="C468" s="3" t="s">
        <v>1645</v>
      </c>
      <c r="D468" s="8" t="s">
        <v>40</v>
      </c>
      <c r="E468" s="3">
        <v>3</v>
      </c>
      <c r="F468" s="4" t="s">
        <v>1670</v>
      </c>
      <c r="G468" s="4" t="s">
        <v>1671</v>
      </c>
      <c r="H468" s="11" t="s">
        <v>27</v>
      </c>
      <c r="I468" s="15" t="s">
        <v>1664</v>
      </c>
      <c r="J468" s="15" t="s">
        <v>1672</v>
      </c>
      <c r="K468" s="5" t="s">
        <v>31</v>
      </c>
      <c r="L468" s="5" t="s">
        <v>31</v>
      </c>
      <c r="M468" s="305">
        <v>1</v>
      </c>
      <c r="N468" s="309"/>
      <c r="O468" s="309"/>
      <c r="P468" s="275" t="s">
        <v>2584</v>
      </c>
    </row>
    <row r="469" spans="1:16" ht="358.8" hidden="1">
      <c r="A469" s="3" t="s">
        <v>1603</v>
      </c>
      <c r="B469" s="3" t="s">
        <v>1604</v>
      </c>
      <c r="C469" s="3" t="s">
        <v>1645</v>
      </c>
      <c r="D469" s="12" t="s">
        <v>48</v>
      </c>
      <c r="E469" s="3">
        <v>4</v>
      </c>
      <c r="F469" s="4" t="s">
        <v>1673</v>
      </c>
      <c r="G469" s="4" t="s">
        <v>1674</v>
      </c>
      <c r="H469" s="11" t="s">
        <v>21</v>
      </c>
      <c r="I469" s="16" t="s">
        <v>1675</v>
      </c>
      <c r="J469" s="193" t="s">
        <v>1676</v>
      </c>
      <c r="K469" s="5" t="s">
        <v>31</v>
      </c>
      <c r="L469" s="5" t="s">
        <v>31</v>
      </c>
      <c r="M469" s="305"/>
      <c r="N469" s="309"/>
      <c r="O469" s="309"/>
      <c r="P469" s="275" t="s">
        <v>2584</v>
      </c>
    </row>
    <row r="470" spans="1:16" ht="165.6" hidden="1">
      <c r="A470" s="3" t="s">
        <v>1603</v>
      </c>
      <c r="B470" s="3" t="s">
        <v>1604</v>
      </c>
      <c r="C470" s="3" t="s">
        <v>1645</v>
      </c>
      <c r="D470" s="10" t="s">
        <v>52</v>
      </c>
      <c r="E470" s="3">
        <v>5</v>
      </c>
      <c r="F470" s="4" t="s">
        <v>1677</v>
      </c>
      <c r="G470" s="4" t="s">
        <v>1678</v>
      </c>
      <c r="H470" s="11" t="s">
        <v>21</v>
      </c>
      <c r="I470" s="15" t="s">
        <v>21</v>
      </c>
      <c r="J470" s="15" t="s">
        <v>1679</v>
      </c>
      <c r="K470" s="11" t="s">
        <v>21</v>
      </c>
      <c r="L470" s="5" t="s">
        <v>31</v>
      </c>
      <c r="M470" s="305"/>
      <c r="N470" s="309"/>
      <c r="O470" s="309"/>
      <c r="P470" s="275" t="s">
        <v>2584</v>
      </c>
    </row>
    <row r="471" spans="1:16" ht="27.6" hidden="1">
      <c r="A471" s="3" t="s">
        <v>1603</v>
      </c>
      <c r="B471" s="3" t="s">
        <v>1604</v>
      </c>
      <c r="C471" s="3" t="s">
        <v>1680</v>
      </c>
      <c r="D471" s="6" t="s">
        <v>18</v>
      </c>
      <c r="E471" s="3">
        <v>1</v>
      </c>
      <c r="F471" s="4" t="s">
        <v>1681</v>
      </c>
      <c r="G471" s="4" t="s">
        <v>1682</v>
      </c>
      <c r="H471" s="11" t="s">
        <v>21</v>
      </c>
      <c r="I471" s="15" t="s">
        <v>21</v>
      </c>
      <c r="J471" s="15" t="s">
        <v>1683</v>
      </c>
      <c r="K471" s="11" t="s">
        <v>21</v>
      </c>
      <c r="L471" s="5" t="s">
        <v>31</v>
      </c>
      <c r="M471" s="305"/>
      <c r="N471" s="309"/>
      <c r="O471" s="309"/>
      <c r="P471" s="275" t="s">
        <v>2584</v>
      </c>
    </row>
    <row r="472" spans="1:16" ht="55.2" hidden="1">
      <c r="A472" s="3" t="s">
        <v>1603</v>
      </c>
      <c r="B472" s="3" t="s">
        <v>1604</v>
      </c>
      <c r="C472" s="3" t="s">
        <v>1680</v>
      </c>
      <c r="D472" s="7" t="s">
        <v>24</v>
      </c>
      <c r="E472" s="3">
        <v>2</v>
      </c>
      <c r="F472" s="4" t="s">
        <v>1684</v>
      </c>
      <c r="G472" s="4" t="s">
        <v>1685</v>
      </c>
      <c r="H472" s="11" t="s">
        <v>21</v>
      </c>
      <c r="I472" s="15" t="s">
        <v>21</v>
      </c>
      <c r="J472" s="15" t="s">
        <v>1686</v>
      </c>
      <c r="K472" s="11" t="s">
        <v>21</v>
      </c>
      <c r="L472" s="5" t="s">
        <v>31</v>
      </c>
      <c r="M472" s="305"/>
      <c r="N472" s="310"/>
      <c r="O472" s="310"/>
      <c r="P472" s="275" t="s">
        <v>2584</v>
      </c>
    </row>
    <row r="473" spans="1:16" ht="124.2" hidden="1">
      <c r="A473" s="3" t="s">
        <v>1603</v>
      </c>
      <c r="B473" s="3" t="s">
        <v>1604</v>
      </c>
      <c r="C473" s="3" t="s">
        <v>1680</v>
      </c>
      <c r="D473" s="7" t="s">
        <v>24</v>
      </c>
      <c r="E473" s="3">
        <v>2</v>
      </c>
      <c r="F473" s="4" t="s">
        <v>1687</v>
      </c>
      <c r="G473" s="4" t="s">
        <v>1688</v>
      </c>
      <c r="H473" s="11" t="s">
        <v>21</v>
      </c>
      <c r="I473" s="15" t="s">
        <v>21</v>
      </c>
      <c r="J473" s="15" t="s">
        <v>1689</v>
      </c>
      <c r="K473" s="11" t="s">
        <v>21</v>
      </c>
      <c r="L473" s="5" t="s">
        <v>31</v>
      </c>
      <c r="M473" s="305"/>
      <c r="N473" s="310"/>
      <c r="O473" s="310"/>
      <c r="P473" s="275" t="s">
        <v>2584</v>
      </c>
    </row>
    <row r="474" spans="1:16" ht="27.6" hidden="1">
      <c r="A474" s="3" t="s">
        <v>1603</v>
      </c>
      <c r="B474" s="3" t="s">
        <v>1604</v>
      </c>
      <c r="C474" s="3" t="s">
        <v>1680</v>
      </c>
      <c r="D474" s="8" t="s">
        <v>40</v>
      </c>
      <c r="E474" s="3">
        <v>3</v>
      </c>
      <c r="F474" s="4" t="s">
        <v>1690</v>
      </c>
      <c r="G474" s="4" t="s">
        <v>1691</v>
      </c>
      <c r="H474" s="11" t="s">
        <v>21</v>
      </c>
      <c r="I474" s="15" t="s">
        <v>21</v>
      </c>
      <c r="J474" s="15" t="s">
        <v>1692</v>
      </c>
      <c r="K474" s="11" t="s">
        <v>21</v>
      </c>
      <c r="L474" s="5" t="s">
        <v>31</v>
      </c>
      <c r="M474" s="305"/>
      <c r="N474" s="309"/>
      <c r="O474" s="309"/>
      <c r="P474" s="275" t="s">
        <v>2584</v>
      </c>
    </row>
    <row r="475" spans="1:16" ht="193.2" hidden="1">
      <c r="A475" s="3" t="s">
        <v>1603</v>
      </c>
      <c r="B475" s="3" t="s">
        <v>1604</v>
      </c>
      <c r="C475" s="3" t="s">
        <v>1680</v>
      </c>
      <c r="D475" s="8" t="s">
        <v>40</v>
      </c>
      <c r="E475" s="3">
        <v>3</v>
      </c>
      <c r="F475" s="4" t="s">
        <v>1693</v>
      </c>
      <c r="G475" s="4" t="s">
        <v>1694</v>
      </c>
      <c r="H475" s="11" t="s">
        <v>27</v>
      </c>
      <c r="I475" s="15" t="s">
        <v>1695</v>
      </c>
      <c r="J475" s="15" t="s">
        <v>1696</v>
      </c>
      <c r="K475" s="5" t="s">
        <v>31</v>
      </c>
      <c r="L475" s="5" t="s">
        <v>31</v>
      </c>
      <c r="M475" s="305"/>
      <c r="N475" s="310"/>
      <c r="O475" s="310"/>
      <c r="P475" s="275" t="s">
        <v>2584</v>
      </c>
    </row>
    <row r="476" spans="1:16" ht="55.2" hidden="1">
      <c r="A476" s="3" t="s">
        <v>1603</v>
      </c>
      <c r="B476" s="3" t="s">
        <v>1604</v>
      </c>
      <c r="C476" s="3" t="s">
        <v>1680</v>
      </c>
      <c r="D476" s="8" t="s">
        <v>40</v>
      </c>
      <c r="E476" s="3">
        <v>3</v>
      </c>
      <c r="F476" s="4" t="s">
        <v>1697</v>
      </c>
      <c r="G476" s="4" t="s">
        <v>1698</v>
      </c>
      <c r="H476" s="11" t="s">
        <v>21</v>
      </c>
      <c r="I476" s="15" t="s">
        <v>21</v>
      </c>
      <c r="J476" s="15" t="s">
        <v>1699</v>
      </c>
      <c r="K476" s="11" t="s">
        <v>21</v>
      </c>
      <c r="L476" s="5" t="s">
        <v>31</v>
      </c>
      <c r="M476" s="305"/>
      <c r="N476" s="309"/>
      <c r="O476" s="309"/>
      <c r="P476" s="275" t="s">
        <v>2584</v>
      </c>
    </row>
    <row r="477" spans="1:16" ht="41.4" hidden="1">
      <c r="A477" s="3" t="s">
        <v>1603</v>
      </c>
      <c r="B477" s="3" t="s">
        <v>1604</v>
      </c>
      <c r="C477" s="3" t="s">
        <v>1680</v>
      </c>
      <c r="D477" s="8" t="s">
        <v>40</v>
      </c>
      <c r="E477" s="3">
        <v>3</v>
      </c>
      <c r="F477" s="4" t="s">
        <v>1700</v>
      </c>
      <c r="G477" s="4" t="s">
        <v>1701</v>
      </c>
      <c r="H477" s="11" t="s">
        <v>27</v>
      </c>
      <c r="I477" s="15" t="s">
        <v>1702</v>
      </c>
      <c r="J477" s="15" t="s">
        <v>1714</v>
      </c>
      <c r="K477" s="5" t="s">
        <v>31</v>
      </c>
      <c r="L477" s="5" t="s">
        <v>31</v>
      </c>
      <c r="M477" s="305"/>
      <c r="N477" s="309"/>
      <c r="O477" s="309"/>
      <c r="P477" s="275" t="s">
        <v>2584</v>
      </c>
    </row>
    <row r="478" spans="1:16" ht="151.80000000000001" hidden="1">
      <c r="A478" s="3" t="s">
        <v>1603</v>
      </c>
      <c r="B478" s="3" t="s">
        <v>1604</v>
      </c>
      <c r="C478" s="3" t="s">
        <v>1680</v>
      </c>
      <c r="D478" s="8" t="s">
        <v>40</v>
      </c>
      <c r="E478" s="3">
        <v>3</v>
      </c>
      <c r="F478" s="4" t="s">
        <v>1704</v>
      </c>
      <c r="G478" s="4" t="s">
        <v>1705</v>
      </c>
      <c r="H478" s="11" t="s">
        <v>21</v>
      </c>
      <c r="I478" s="15" t="s">
        <v>21</v>
      </c>
      <c r="J478" s="15" t="s">
        <v>1706</v>
      </c>
      <c r="K478" s="11" t="s">
        <v>21</v>
      </c>
      <c r="L478" s="5" t="s">
        <v>31</v>
      </c>
      <c r="M478" s="305"/>
      <c r="N478" s="309"/>
      <c r="O478" s="309"/>
      <c r="P478" s="275" t="s">
        <v>2584</v>
      </c>
    </row>
    <row r="479" spans="1:16" ht="110.4" hidden="1">
      <c r="A479" s="3" t="s">
        <v>1603</v>
      </c>
      <c r="B479" s="3" t="s">
        <v>1604</v>
      </c>
      <c r="C479" s="3" t="s">
        <v>1680</v>
      </c>
      <c r="D479" s="8" t="s">
        <v>40</v>
      </c>
      <c r="E479" s="3">
        <v>3</v>
      </c>
      <c r="F479" s="4" t="s">
        <v>1707</v>
      </c>
      <c r="G479" s="4" t="s">
        <v>1708</v>
      </c>
      <c r="H479" s="11" t="s">
        <v>181</v>
      </c>
      <c r="I479" s="15" t="s">
        <v>1709</v>
      </c>
      <c r="J479" s="15" t="s">
        <v>1710</v>
      </c>
      <c r="K479" s="5" t="s">
        <v>31</v>
      </c>
      <c r="L479" s="5" t="s">
        <v>31</v>
      </c>
      <c r="M479" s="305"/>
      <c r="N479" s="309"/>
      <c r="O479" s="309"/>
      <c r="P479" s="275" t="s">
        <v>2584</v>
      </c>
    </row>
    <row r="480" spans="1:16" ht="69" hidden="1">
      <c r="A480" s="3" t="s">
        <v>1603</v>
      </c>
      <c r="B480" s="3" t="s">
        <v>1604</v>
      </c>
      <c r="C480" s="3" t="s">
        <v>1680</v>
      </c>
      <c r="D480" s="8" t="s">
        <v>40</v>
      </c>
      <c r="E480" s="3">
        <v>3</v>
      </c>
      <c r="F480" s="4" t="s">
        <v>1711</v>
      </c>
      <c r="G480" s="4" t="s">
        <v>1712</v>
      </c>
      <c r="H480" s="11" t="s">
        <v>55</v>
      </c>
      <c r="I480" s="15" t="s">
        <v>1713</v>
      </c>
      <c r="J480" s="15" t="s">
        <v>1703</v>
      </c>
      <c r="K480" s="5" t="s">
        <v>31</v>
      </c>
      <c r="L480" s="5" t="s">
        <v>31</v>
      </c>
      <c r="M480" s="305"/>
      <c r="N480" s="309"/>
      <c r="O480" s="309"/>
      <c r="P480" s="275" t="s">
        <v>2584</v>
      </c>
    </row>
    <row r="481" spans="1:16" ht="400.2" hidden="1">
      <c r="A481" s="3" t="s">
        <v>1603</v>
      </c>
      <c r="B481" s="3" t="s">
        <v>1604</v>
      </c>
      <c r="C481" s="3" t="s">
        <v>1680</v>
      </c>
      <c r="D481" s="12" t="s">
        <v>48</v>
      </c>
      <c r="E481" s="3">
        <v>4</v>
      </c>
      <c r="F481" s="4" t="s">
        <v>1715</v>
      </c>
      <c r="G481" s="4" t="s">
        <v>1716</v>
      </c>
      <c r="H481" s="11" t="s">
        <v>55</v>
      </c>
      <c r="I481" s="15" t="s">
        <v>1717</v>
      </c>
      <c r="J481" s="15" t="s">
        <v>1718</v>
      </c>
      <c r="K481" s="5" t="s">
        <v>31</v>
      </c>
      <c r="L481" s="5" t="s">
        <v>31</v>
      </c>
      <c r="M481" s="305">
        <v>1</v>
      </c>
      <c r="N481" s="309"/>
      <c r="O481" s="309"/>
      <c r="P481" s="275" t="s">
        <v>2584</v>
      </c>
    </row>
    <row r="482" spans="1:16" ht="179.4" hidden="1">
      <c r="A482" s="127" t="s">
        <v>1603</v>
      </c>
      <c r="B482" s="127" t="s">
        <v>1604</v>
      </c>
      <c r="C482" s="127" t="s">
        <v>1680</v>
      </c>
      <c r="D482" s="10" t="s">
        <v>52</v>
      </c>
      <c r="E482" s="127">
        <v>5</v>
      </c>
      <c r="F482" s="128" t="s">
        <v>1719</v>
      </c>
      <c r="G482" s="128" t="s">
        <v>1720</v>
      </c>
      <c r="H482" s="129" t="s">
        <v>21</v>
      </c>
      <c r="I482" s="130" t="s">
        <v>21</v>
      </c>
      <c r="J482" s="130" t="s">
        <v>1721</v>
      </c>
      <c r="K482" s="11" t="s">
        <v>21</v>
      </c>
      <c r="L482" s="5" t="s">
        <v>31</v>
      </c>
      <c r="M482" s="307"/>
      <c r="N482" s="309"/>
      <c r="O482" s="309"/>
      <c r="P482" s="275" t="s">
        <v>2596</v>
      </c>
    </row>
  </sheetData>
  <conditionalFormatting sqref="H5:H482">
    <cfRule type="cellIs" dxfId="26" priority="24" operator="equal">
      <formula>"N/A"</formula>
    </cfRule>
    <cfRule type="cellIs" dxfId="25" priority="25" operator="equal">
      <formula>"P3"</formula>
    </cfRule>
    <cfRule type="cellIs" dxfId="24" priority="26" operator="equal">
      <formula>"P2"</formula>
    </cfRule>
    <cfRule type="cellIs" dxfId="23" priority="27" operator="equal">
      <formula>"P1"</formula>
    </cfRule>
  </conditionalFormatting>
  <conditionalFormatting sqref="K5 K10:K11 K16:K17 K22 K34:K35 K37:K40 K48:K49 K51:K55 K61:K62 K65:K67 K70:K72 K74 K77:K79 K81:K84 K86 K90:K91 K93 K98:K100 K103 K107:K109 K112:K114 K117:K119 K121:K128 K137:K139 K141:K145 K147 K153:K162 K165:K166 K168:K171 K173 K178 K182">
    <cfRule type="cellIs" dxfId="22" priority="8" operator="equal">
      <formula>"N/A"</formula>
    </cfRule>
    <cfRule type="cellIs" dxfId="21" priority="9" operator="equal">
      <formula>"P3"</formula>
    </cfRule>
    <cfRule type="cellIs" dxfId="20" priority="10" operator="equal">
      <formula>"P2"</formula>
    </cfRule>
    <cfRule type="cellIs" dxfId="19" priority="11" operator="equal">
      <formula>"P1"</formula>
    </cfRule>
  </conditionalFormatting>
  <conditionalFormatting sqref="K6:K9 K12:K15 K18:K21 K23:K33 K36 K41:K47 K50 K56:K60 K63:K64 K68:K69 K73 K75:K76 K80 K85 K87:K89 K92 K94:K97 K101:K102 K104:K106 K110:K111 K115:K116 K120 K129:K136 K140 K146 K148:K152 K163:K164 K167 K172 K174:K177 K179:K181 K183 K187:K190 K193 K199:K203 K206:K207 K209:K210 K214 K216 K220:K223 K225:K226 K230:K231 K235 K241:K245 K247:K248 K253 K256:K259 K261 K263 K268 K270 K276 K280:K281 K288:K289 K292:K299 K306:K310 K312 K314 K316 K319 K321:K324 K328:K333 K335 K338:K343 K347 K354:K357 K359 K361 K363 K373:K374 K377 K383 K402:K405 K407 K410 K412 K414 K417:K420 K423 K429 K432 K434 K437 K439:K441 K443:K445 K451 K453 K459 K462 K466:K469 K475 K477 K479:K481">
    <cfRule type="cellIs" dxfId="18" priority="29" operator="equal">
      <formula>"Under Development"</formula>
    </cfRule>
  </conditionalFormatting>
  <conditionalFormatting sqref="K6:K9">
    <cfRule type="cellIs" dxfId="17" priority="3" operator="equal">
      <formula>"Partially"</formula>
    </cfRule>
  </conditionalFormatting>
  <conditionalFormatting sqref="K12:K15 K18:K21 K23:K33 K36 K41:K47 K50 K56:K60 K63:K64 K68:K69 K73 K75:K76 K80 K85 K87:K89 K92 K94:K97 K101:K102 K104:K106 K110:K111 K115:K116 K120 K129:K136 K140 K146 K148:K152 K163:K164 K167 K172 K174:K177 K179:K181 K183 K187:K190 K193 K199:K203 K206:K207 K209:K210 K214 K216 K220:K223 K225:K226 K230:K231 K235 K241:K245 K247:K248 K253 K256:K259 K261 K263 K268 K270 K276 K280:K281 K288:K289 K292:K299 K306:K310 K312 K314 K316 K319 K321:K324 K328:K333 K335 K338:K343 K347 K354:K357 K359 K361 K363 K373:K374 K377 K383 K402:K405 K407 K410 K412 K414 K417:K420 K423 K429 K432 K434 K437 K439:K441 K443:K445 K451 K453 K459 K462 K466:K469 K475 K477 K479:K481">
    <cfRule type="cellIs" dxfId="16" priority="1" operator="equal">
      <formula>"Partially"</formula>
    </cfRule>
  </conditionalFormatting>
  <conditionalFormatting sqref="K184:K186 K191:K192 K194:K198 K204:K205 K208 K211:K213 K215 K217:K219 K224 K227:K229 K232:K234 K236:K240 K246 K249:K252 K254:K255 K260 K262 K264:K267 K269 K271:K275 K277:K279 K282:K287 K290:K291 K300:K305 K311 K313 K315 K317:K318 K320 K325:K327 K334 K336:K337 K344:K346 K348:K353 K358 K360 K362 K364:K372 K375:K376 K378:K382 K384:K401 K406 K408:K409 K411 K413 K415:K416 K421:K422 K424:K428 K430:K431 K433 K435:K436 K438 K442 K446:K450 K452 K454:K458 K460:K461 K463:K465 K470:K474 K476 K478 K482">
    <cfRule type="cellIs" dxfId="15" priority="4" operator="equal">
      <formula>"N/A"</formula>
    </cfRule>
    <cfRule type="cellIs" dxfId="14" priority="5" operator="equal">
      <formula>"P3"</formula>
    </cfRule>
    <cfRule type="cellIs" dxfId="13" priority="6" operator="equal">
      <formula>"P2"</formula>
    </cfRule>
    <cfRule type="cellIs" dxfId="12" priority="7" operator="equal">
      <formula>"P1"</formula>
    </cfRule>
  </conditionalFormatting>
  <conditionalFormatting sqref="L5:L482 K6:L9 K12:L15 K18:L21 K23:L33 K36:L36 K41:L47 K50:L50 K56:L60 K63:L64 K68:L69 K73:L73 K75:L76 K80:L80 K85:L85 K87:L89 K92:L92 K94:L97 K101:L102 K104:L106 K110:L111 K115:L116 K120:L120 K129:L136 K140:L140 K146:L146 K148:L152 K163:L164 K167:L167 K172:L172 K174:L177 K179:L181 K183:L183 K187:L190 K193:L193 K199:L203 K206:L207 K209:L210 K214:L214 K216:L216 K220:L223 K225:L226 K230:L231 K235:L235 K241:L245 K247:L248 K253:L253 K256:L259 K261:L261 K263:L263 K268:L268 K270:L270 K276:L276 K280:L281 K288:L289 K292:L299 K306:L310 K312:L312 K314:L314 K316:L316 K319:L319 K321:L324 K328:L333 K335:L335 K338:L343 K347:L347 K354:L357 K359:L359 K361:L361 K363:L363 K373:L374 K377:L377 K383:L383 K402:L405 K407:L407 K410:L410 K412:L412 K414:L414 K417:L420 K423:L423 K429:L429 K432:L432 K434:L434 K437:L437 K439:L441 K443:L445 K451:L451 K453:L453 K459:L459 K462:L462 K466:L469 K475:L475 K477:L477 K479:L481">
    <cfRule type="cellIs" dxfId="11" priority="30" operator="equal">
      <formula>"No"</formula>
    </cfRule>
    <cfRule type="cellIs" dxfId="10" priority="31" operator="equal">
      <formula>"Yes"</formula>
    </cfRule>
  </conditionalFormatting>
  <conditionalFormatting sqref="L5:M482">
    <cfRule type="cellIs" dxfId="9" priority="28" operator="equal">
      <formula>"Partially"</formula>
    </cfRule>
  </conditionalFormatting>
  <dataValidations count="2">
    <dataValidation type="list" allowBlank="1" showInputMessage="1" showErrorMessage="1" sqref="K312 I316 K94:K97 K314 K6:K9 K443:K445 K18:K21 K23:K33 K12:K15 K36 K41:K47 K50 K63:K64 K68:K69 K56:K60 K73 K80 K85 K75:K76 K92 K87:K89 K101:K102 K104:K106 K110:K111 K120 K129:K136 K140 K115:K116 K146 K148:K152 K167 K172 K163:K164 K179:K181 K174:K177 K187:K190 K193 K199:K203 K206:K207 K209:K210 K214 K216 K220:K223 K225:K226 K230:K231 K183 K241:K245 K247:K248 K253 K256:K259 K261 K263 K268 K270 K235 K280:K281 K288:K289 K292:K299 K306:K310 K276 K319 K321:K324 K328:K333 K335 K316 K338:K343 K354:K357 K359 K361 K363 K373:K374 K377 K347 K402:K405 K407 K410 K412 K383 K417:K420 K414 K423 K432 K434 K437 K439:K441 K429 K451 K453 K459 K462 K466:K469 K475 K477 K483:K522 K479:K481" xr:uid="{791310CF-D7E6-41C9-B39E-0A870E2D7825}">
      <formula1>"Yes, Under Development, No"</formula1>
    </dataValidation>
    <dataValidation type="list" allowBlank="1" showInputMessage="1" showErrorMessage="1" sqref="L483:M522 L5:L482" xr:uid="{4B0EA7A6-CA2C-4A2A-AA9D-FF6FDCFB4AD6}">
      <formula1>"Yes, Partially, No"</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2C5A1-F113-44BE-BDD9-6866275EE2A1}">
  <dimension ref="B1:K56"/>
  <sheetViews>
    <sheetView showGridLines="0" topLeftCell="A21" zoomScale="90" zoomScaleNormal="90" workbookViewId="0">
      <selection activeCell="E17" sqref="E17"/>
    </sheetView>
  </sheetViews>
  <sheetFormatPr defaultColWidth="8.6640625" defaultRowHeight="14.4" zeroHeight="1"/>
  <cols>
    <col min="1" max="1" width="2.33203125" customWidth="1"/>
    <col min="2" max="2" width="8.6640625" customWidth="1"/>
    <col min="3" max="3" width="4.5546875" bestFit="1" customWidth="1"/>
    <col min="4" max="4" width="24.6640625" customWidth="1"/>
    <col min="5" max="11" width="30.6640625" customWidth="1"/>
    <col min="12" max="12" width="8.6640625" customWidth="1"/>
  </cols>
  <sheetData>
    <row r="1" spans="2:11" ht="8.6999999999999993" customHeight="1"/>
    <row r="2" spans="2:11" ht="28.8" thickBot="1">
      <c r="B2" s="35" t="s">
        <v>1722</v>
      </c>
      <c r="C2" s="36"/>
      <c r="D2" s="37"/>
      <c r="E2" s="38"/>
      <c r="F2" s="38"/>
      <c r="G2" s="38"/>
      <c r="H2" s="38"/>
      <c r="I2" s="39"/>
      <c r="J2" s="38"/>
      <c r="K2" s="38"/>
    </row>
    <row r="3" spans="2:11">
      <c r="B3" s="214" t="s">
        <v>1723</v>
      </c>
      <c r="C3" s="216" t="s">
        <v>1724</v>
      </c>
      <c r="D3" s="218" t="s">
        <v>1725</v>
      </c>
      <c r="E3" s="218" t="s">
        <v>5</v>
      </c>
      <c r="F3" s="218"/>
      <c r="G3" s="218"/>
      <c r="H3" s="218"/>
      <c r="I3" s="218"/>
      <c r="J3" s="218"/>
      <c r="K3" s="212" t="s">
        <v>1726</v>
      </c>
    </row>
    <row r="4" spans="2:11">
      <c r="B4" s="215"/>
      <c r="C4" s="217"/>
      <c r="D4" s="219"/>
      <c r="E4" s="97" t="s">
        <v>1727</v>
      </c>
      <c r="F4" s="98" t="s">
        <v>1728</v>
      </c>
      <c r="G4" s="99" t="s">
        <v>1729</v>
      </c>
      <c r="H4" s="100" t="s">
        <v>1730</v>
      </c>
      <c r="I4" s="101" t="s">
        <v>1731</v>
      </c>
      <c r="J4" s="89" t="s">
        <v>1732</v>
      </c>
      <c r="K4" s="213"/>
    </row>
    <row r="5" spans="2:11">
      <c r="B5" s="215"/>
      <c r="C5" s="217"/>
      <c r="D5" s="219"/>
      <c r="E5" s="102" t="s">
        <v>1733</v>
      </c>
      <c r="F5" s="103" t="s">
        <v>18</v>
      </c>
      <c r="G5" s="104" t="s">
        <v>24</v>
      </c>
      <c r="H5" s="105" t="s">
        <v>40</v>
      </c>
      <c r="I5" s="106" t="s">
        <v>48</v>
      </c>
      <c r="J5" s="90" t="s">
        <v>52</v>
      </c>
      <c r="K5" s="213"/>
    </row>
    <row r="6" spans="2:11" ht="179.4">
      <c r="B6" s="208" t="s">
        <v>15</v>
      </c>
      <c r="C6" s="91" t="s">
        <v>17</v>
      </c>
      <c r="D6" s="92" t="s">
        <v>1734</v>
      </c>
      <c r="E6" s="96" t="s">
        <v>1735</v>
      </c>
      <c r="F6" s="96" t="s">
        <v>1736</v>
      </c>
      <c r="G6" s="96" t="s">
        <v>1737</v>
      </c>
      <c r="H6" s="96" t="s">
        <v>1738</v>
      </c>
      <c r="I6" s="96" t="s">
        <v>1739</v>
      </c>
      <c r="J6" s="96" t="s">
        <v>1740</v>
      </c>
      <c r="K6" s="111">
        <f>VLOOKUP(C6, Calculation!$T$3:$AA$45,8,FALSE)</f>
        <v>2</v>
      </c>
    </row>
    <row r="7" spans="2:11" ht="124.2">
      <c r="B7" s="208"/>
      <c r="C7" s="91" t="s">
        <v>62</v>
      </c>
      <c r="D7" s="92" t="s">
        <v>1741</v>
      </c>
      <c r="E7" s="93" t="s">
        <v>1742</v>
      </c>
      <c r="F7" s="93" t="s">
        <v>1743</v>
      </c>
      <c r="G7" s="93" t="s">
        <v>1744</v>
      </c>
      <c r="H7" s="93" t="s">
        <v>1745</v>
      </c>
      <c r="I7" s="93" t="s">
        <v>1746</v>
      </c>
      <c r="J7" s="93" t="s">
        <v>1747</v>
      </c>
      <c r="K7" s="111">
        <f>VLOOKUP(C7, Calculation!$T$3:$AA$45,8,FALSE)</f>
        <v>1</v>
      </c>
    </row>
    <row r="8" spans="2:11" ht="151.80000000000001">
      <c r="B8" s="208"/>
      <c r="C8" s="91" t="s">
        <v>96</v>
      </c>
      <c r="D8" s="92" t="s">
        <v>1748</v>
      </c>
      <c r="E8" s="93" t="s">
        <v>1749</v>
      </c>
      <c r="F8" s="93" t="s">
        <v>1750</v>
      </c>
      <c r="G8" s="93" t="s">
        <v>1751</v>
      </c>
      <c r="H8" s="93" t="s">
        <v>1752</v>
      </c>
      <c r="I8" s="93" t="s">
        <v>1753</v>
      </c>
      <c r="J8" s="93" t="s">
        <v>1754</v>
      </c>
      <c r="K8" s="111">
        <f>VLOOKUP(C8, Calculation!$T$3:$AA$45,8,FALSE)</f>
        <v>0</v>
      </c>
    </row>
    <row r="9" spans="2:11" ht="248.4">
      <c r="B9" s="208"/>
      <c r="C9" s="91" t="s">
        <v>154</v>
      </c>
      <c r="D9" s="92" t="s">
        <v>1755</v>
      </c>
      <c r="E9" s="93" t="s">
        <v>1756</v>
      </c>
      <c r="F9" s="93" t="s">
        <v>1757</v>
      </c>
      <c r="G9" s="93" t="s">
        <v>1758</v>
      </c>
      <c r="H9" s="93" t="s">
        <v>1759</v>
      </c>
      <c r="I9" s="93" t="s">
        <v>1760</v>
      </c>
      <c r="J9" s="93" t="s">
        <v>1761</v>
      </c>
      <c r="K9" s="111">
        <f>VLOOKUP(C9, Calculation!$T$3:$AA$45,8,FALSE)</f>
        <v>0</v>
      </c>
    </row>
    <row r="10" spans="2:11" ht="262.2">
      <c r="B10" s="208" t="s">
        <v>1762</v>
      </c>
      <c r="C10" s="91" t="s">
        <v>1003</v>
      </c>
      <c r="D10" s="92" t="s">
        <v>1763</v>
      </c>
      <c r="E10" s="93" t="s">
        <v>1764</v>
      </c>
      <c r="F10" s="93" t="s">
        <v>1765</v>
      </c>
      <c r="G10" s="93" t="s">
        <v>1766</v>
      </c>
      <c r="H10" s="93" t="s">
        <v>1767</v>
      </c>
      <c r="I10" s="93" t="s">
        <v>1768</v>
      </c>
      <c r="J10" s="93" t="s">
        <v>1769</v>
      </c>
      <c r="K10" s="111">
        <f>VLOOKUP(C10, Calculation!$T$3:$AA$45,8,FALSE)</f>
        <v>0</v>
      </c>
    </row>
    <row r="11" spans="2:11" ht="345">
      <c r="B11" s="208"/>
      <c r="C11" s="91" t="s">
        <v>1027</v>
      </c>
      <c r="D11" s="92" t="s">
        <v>1770</v>
      </c>
      <c r="E11" s="93" t="s">
        <v>1771</v>
      </c>
      <c r="F11" s="93" t="s">
        <v>1772</v>
      </c>
      <c r="G11" s="93" t="s">
        <v>1773</v>
      </c>
      <c r="H11" s="93" t="s">
        <v>1774</v>
      </c>
      <c r="I11" s="93" t="s">
        <v>1775</v>
      </c>
      <c r="J11" s="93" t="s">
        <v>1776</v>
      </c>
      <c r="K11" s="111">
        <f>VLOOKUP(C11, Calculation!$T$3:$AA$45,8,FALSE)</f>
        <v>0</v>
      </c>
    </row>
    <row r="12" spans="2:11" ht="386.4">
      <c r="B12" s="208"/>
      <c r="C12" s="91" t="s">
        <v>1089</v>
      </c>
      <c r="D12" s="92" t="s">
        <v>1777</v>
      </c>
      <c r="E12" s="93" t="s">
        <v>1778</v>
      </c>
      <c r="F12" s="93" t="s">
        <v>1779</v>
      </c>
      <c r="G12" s="93" t="s">
        <v>1780</v>
      </c>
      <c r="H12" s="93" t="s">
        <v>1781</v>
      </c>
      <c r="I12" s="93" t="s">
        <v>1782</v>
      </c>
      <c r="J12" s="93" t="s">
        <v>1783</v>
      </c>
      <c r="K12" s="111">
        <f>VLOOKUP(C12, Calculation!$T$3:$AA$45,8,FALSE)</f>
        <v>0</v>
      </c>
    </row>
    <row r="13" spans="2:11" ht="124.2">
      <c r="B13" s="208" t="s">
        <v>443</v>
      </c>
      <c r="C13" s="94" t="s">
        <v>445</v>
      </c>
      <c r="D13" s="92" t="s">
        <v>1784</v>
      </c>
      <c r="E13" s="93" t="s">
        <v>1785</v>
      </c>
      <c r="F13" s="93" t="s">
        <v>1786</v>
      </c>
      <c r="G13" s="93" t="s">
        <v>1787</v>
      </c>
      <c r="H13" s="93" t="s">
        <v>1788</v>
      </c>
      <c r="I13" s="93" t="s">
        <v>1789</v>
      </c>
      <c r="J13" s="93" t="s">
        <v>1790</v>
      </c>
      <c r="K13" s="111">
        <f>VLOOKUP(C13, Calculation!$T$3:$AA$45,8,FALSE)</f>
        <v>2</v>
      </c>
    </row>
    <row r="14" spans="2:11" ht="303.60000000000002">
      <c r="B14" s="208"/>
      <c r="C14" s="94" t="s">
        <v>468</v>
      </c>
      <c r="D14" s="92" t="s">
        <v>1791</v>
      </c>
      <c r="E14" s="93" t="s">
        <v>1792</v>
      </c>
      <c r="F14" s="93" t="s">
        <v>1793</v>
      </c>
      <c r="G14" s="93" t="s">
        <v>1794</v>
      </c>
      <c r="H14" s="93" t="s">
        <v>1795</v>
      </c>
      <c r="I14" s="93" t="s">
        <v>1796</v>
      </c>
      <c r="J14" s="93" t="s">
        <v>1797</v>
      </c>
      <c r="K14" s="111">
        <f>VLOOKUP(C14, Calculation!$T$3:$AA$45,8,FALSE)</f>
        <v>0</v>
      </c>
    </row>
    <row r="15" spans="2:11" ht="248.4">
      <c r="B15" s="208"/>
      <c r="C15" s="94" t="s">
        <v>530</v>
      </c>
      <c r="D15" s="92" t="s">
        <v>1798</v>
      </c>
      <c r="E15" s="93" t="s">
        <v>1799</v>
      </c>
      <c r="F15" s="93" t="s">
        <v>1800</v>
      </c>
      <c r="G15" s="93" t="s">
        <v>1801</v>
      </c>
      <c r="H15" s="93" t="s">
        <v>1802</v>
      </c>
      <c r="I15" s="93" t="s">
        <v>1803</v>
      </c>
      <c r="J15" s="93" t="s">
        <v>1804</v>
      </c>
      <c r="K15" s="111">
        <f>VLOOKUP(C15, Calculation!$T$3:$AA$45,8,FALSE)</f>
        <v>0</v>
      </c>
    </row>
    <row r="16" spans="2:11" ht="193.2">
      <c r="B16" s="208"/>
      <c r="C16" s="94" t="s">
        <v>565</v>
      </c>
      <c r="D16" s="92" t="s">
        <v>1805</v>
      </c>
      <c r="E16" s="93" t="s">
        <v>1806</v>
      </c>
      <c r="F16" s="93" t="s">
        <v>1807</v>
      </c>
      <c r="G16" s="93" t="s">
        <v>1808</v>
      </c>
      <c r="H16" s="93" t="s">
        <v>1809</v>
      </c>
      <c r="I16" s="93" t="s">
        <v>1810</v>
      </c>
      <c r="J16" s="93" t="s">
        <v>1811</v>
      </c>
      <c r="K16" s="111">
        <f>VLOOKUP(C16, Calculation!$T$3:$AA$45,8,FALSE)</f>
        <v>0</v>
      </c>
    </row>
    <row r="17" spans="2:11" ht="262.2">
      <c r="B17" s="208" t="s">
        <v>866</v>
      </c>
      <c r="C17" s="94" t="s">
        <v>868</v>
      </c>
      <c r="D17" s="92" t="s">
        <v>1812</v>
      </c>
      <c r="E17" s="93" t="s">
        <v>1813</v>
      </c>
      <c r="F17" s="93" t="s">
        <v>1814</v>
      </c>
      <c r="G17" s="93" t="s">
        <v>1815</v>
      </c>
      <c r="H17" s="93" t="s">
        <v>1816</v>
      </c>
      <c r="I17" s="93" t="s">
        <v>1817</v>
      </c>
      <c r="J17" s="93" t="s">
        <v>1818</v>
      </c>
      <c r="K17" s="111">
        <f>VLOOKUP(C17, Calculation!$T$3:$AA$45,8,FALSE)</f>
        <v>1</v>
      </c>
    </row>
    <row r="18" spans="2:11" ht="409.6">
      <c r="B18" s="208"/>
      <c r="C18" s="94" t="s">
        <v>919</v>
      </c>
      <c r="D18" s="92" t="s">
        <v>1819</v>
      </c>
      <c r="E18" s="93" t="s">
        <v>1820</v>
      </c>
      <c r="F18" s="93" t="s">
        <v>1821</v>
      </c>
      <c r="G18" s="93" t="s">
        <v>1822</v>
      </c>
      <c r="H18" s="93" t="s">
        <v>1823</v>
      </c>
      <c r="I18" s="93" t="s">
        <v>1824</v>
      </c>
      <c r="J18" s="93" t="s">
        <v>1825</v>
      </c>
      <c r="K18" s="111">
        <f>VLOOKUP(C18, Calculation!$T$3:$AA$45,8,FALSE)</f>
        <v>1</v>
      </c>
    </row>
    <row r="19" spans="2:11" ht="276">
      <c r="B19" s="208"/>
      <c r="C19" s="94" t="s">
        <v>961</v>
      </c>
      <c r="D19" s="92" t="s">
        <v>1826</v>
      </c>
      <c r="E19" s="93" t="s">
        <v>1827</v>
      </c>
      <c r="F19" s="93" t="s">
        <v>1828</v>
      </c>
      <c r="G19" s="93" t="s">
        <v>1829</v>
      </c>
      <c r="H19" s="93" t="s">
        <v>1830</v>
      </c>
      <c r="I19" s="93" t="s">
        <v>1831</v>
      </c>
      <c r="J19" s="93" t="s">
        <v>1832</v>
      </c>
      <c r="K19" s="111">
        <f>VLOOKUP(C19, Calculation!$T$3:$AA$45,8,FALSE)</f>
        <v>1</v>
      </c>
    </row>
    <row r="20" spans="2:11" ht="331.2">
      <c r="B20" s="208" t="s">
        <v>1833</v>
      </c>
      <c r="C20" s="94" t="s">
        <v>746</v>
      </c>
      <c r="D20" s="92" t="s">
        <v>1834</v>
      </c>
      <c r="E20" s="93" t="s">
        <v>1835</v>
      </c>
      <c r="F20" s="93" t="s">
        <v>1836</v>
      </c>
      <c r="G20" s="93" t="s">
        <v>1837</v>
      </c>
      <c r="H20" s="93" t="s">
        <v>1838</v>
      </c>
      <c r="I20" s="93" t="s">
        <v>1839</v>
      </c>
      <c r="J20" s="93" t="s">
        <v>1840</v>
      </c>
      <c r="K20" s="111">
        <f>VLOOKUP(C20, Calculation!$T$3:$AA$45,8,FALSE)</f>
        <v>1</v>
      </c>
    </row>
    <row r="21" spans="2:11" ht="409.6">
      <c r="B21" s="208"/>
      <c r="C21" s="94" t="s">
        <v>794</v>
      </c>
      <c r="D21" s="92" t="s">
        <v>1841</v>
      </c>
      <c r="E21" s="93" t="s">
        <v>1842</v>
      </c>
      <c r="F21" s="93" t="s">
        <v>1843</v>
      </c>
      <c r="G21" s="93" t="s">
        <v>1844</v>
      </c>
      <c r="H21" s="93" t="s">
        <v>1845</v>
      </c>
      <c r="I21" s="93" t="s">
        <v>1846</v>
      </c>
      <c r="J21" s="93" t="s">
        <v>1847</v>
      </c>
      <c r="K21" s="111">
        <f>VLOOKUP(C21, Calculation!$T$3:$AA$45,8,FALSE)</f>
        <v>1</v>
      </c>
    </row>
    <row r="22" spans="2:11" ht="124.2">
      <c r="B22" s="208"/>
      <c r="C22" s="94" t="s">
        <v>843</v>
      </c>
      <c r="D22" s="92" t="s">
        <v>1848</v>
      </c>
      <c r="E22" s="93" t="s">
        <v>1849</v>
      </c>
      <c r="F22" s="93" t="s">
        <v>1850</v>
      </c>
      <c r="G22" s="93" t="s">
        <v>1851</v>
      </c>
      <c r="H22" s="93" t="s">
        <v>1852</v>
      </c>
      <c r="I22" s="93" t="s">
        <v>1853</v>
      </c>
      <c r="J22" s="93" t="s">
        <v>1854</v>
      </c>
      <c r="K22" s="111">
        <f>VLOOKUP(C22, Calculation!$T$3:$AA$45,8,FALSE)</f>
        <v>2</v>
      </c>
    </row>
    <row r="23" spans="2:11" ht="303.60000000000002">
      <c r="B23" s="208" t="s">
        <v>1855</v>
      </c>
      <c r="C23" s="94" t="s">
        <v>1433</v>
      </c>
      <c r="D23" s="92" t="s">
        <v>1856</v>
      </c>
      <c r="E23" s="93" t="s">
        <v>1857</v>
      </c>
      <c r="F23" s="93" t="s">
        <v>1858</v>
      </c>
      <c r="G23" s="93" t="s">
        <v>1859</v>
      </c>
      <c r="H23" s="93" t="s">
        <v>1860</v>
      </c>
      <c r="I23" s="93" t="s">
        <v>1861</v>
      </c>
      <c r="J23" s="95" t="s">
        <v>1862</v>
      </c>
      <c r="K23" s="111">
        <f>VLOOKUP(C23, Calculation!$T$3:$AA$45,8,FALSE)</f>
        <v>0</v>
      </c>
    </row>
    <row r="24" spans="2:11" ht="409.6">
      <c r="B24" s="208"/>
      <c r="C24" s="94" t="s">
        <v>1483</v>
      </c>
      <c r="D24" s="92" t="s">
        <v>1863</v>
      </c>
      <c r="E24" s="93" t="s">
        <v>1864</v>
      </c>
      <c r="F24" s="95" t="s">
        <v>1865</v>
      </c>
      <c r="G24" s="95" t="s">
        <v>1866</v>
      </c>
      <c r="H24" s="95" t="s">
        <v>1867</v>
      </c>
      <c r="I24" s="93" t="s">
        <v>1868</v>
      </c>
      <c r="J24" s="95" t="s">
        <v>1869</v>
      </c>
      <c r="K24" s="111">
        <f>VLOOKUP(C24, Calculation!$T$3:$AA$45,8,FALSE)</f>
        <v>0</v>
      </c>
    </row>
    <row r="25" spans="2:11" ht="331.2">
      <c r="B25" s="206" t="s">
        <v>1870</v>
      </c>
      <c r="C25" s="91" t="s">
        <v>282</v>
      </c>
      <c r="D25" s="92" t="s">
        <v>1871</v>
      </c>
      <c r="E25" s="93" t="s">
        <v>1872</v>
      </c>
      <c r="F25" s="95" t="s">
        <v>1873</v>
      </c>
      <c r="G25" s="95" t="s">
        <v>1874</v>
      </c>
      <c r="H25" s="95" t="s">
        <v>1875</v>
      </c>
      <c r="I25" s="93" t="s">
        <v>1876</v>
      </c>
      <c r="J25" s="93" t="s">
        <v>1877</v>
      </c>
      <c r="K25" s="111">
        <f>VLOOKUP(C25, Calculation!$T$3:$AA$45,8,FALSE)</f>
        <v>0</v>
      </c>
    </row>
    <row r="26" spans="2:11" ht="409.6">
      <c r="B26" s="206"/>
      <c r="C26" s="91" t="s">
        <v>323</v>
      </c>
      <c r="D26" s="92" t="s">
        <v>1878</v>
      </c>
      <c r="E26" s="93" t="s">
        <v>1879</v>
      </c>
      <c r="F26" s="93" t="s">
        <v>1880</v>
      </c>
      <c r="G26" s="95" t="s">
        <v>1881</v>
      </c>
      <c r="H26" s="95" t="s">
        <v>1882</v>
      </c>
      <c r="I26" s="93" t="s">
        <v>1883</v>
      </c>
      <c r="J26" s="95" t="s">
        <v>1884</v>
      </c>
      <c r="K26" s="111">
        <f>VLOOKUP(C26, Calculation!$T$3:$AA$45,8,FALSE)</f>
        <v>1</v>
      </c>
    </row>
    <row r="27" spans="2:11" ht="193.2">
      <c r="B27" s="206"/>
      <c r="C27" s="91" t="s">
        <v>378</v>
      </c>
      <c r="D27" s="92" t="s">
        <v>1885</v>
      </c>
      <c r="E27" s="93" t="s">
        <v>1886</v>
      </c>
      <c r="F27" s="93" t="s">
        <v>1887</v>
      </c>
      <c r="G27" s="95" t="s">
        <v>1888</v>
      </c>
      <c r="H27" s="95" t="s">
        <v>1889</v>
      </c>
      <c r="I27" s="93" t="s">
        <v>1890</v>
      </c>
      <c r="J27" s="93" t="s">
        <v>1891</v>
      </c>
      <c r="K27" s="111">
        <f>VLOOKUP(C27, Calculation!$T$3:$AA$45,8,FALSE)</f>
        <v>1</v>
      </c>
    </row>
    <row r="28" spans="2:11" ht="409.6">
      <c r="B28" s="206"/>
      <c r="C28" s="91" t="s">
        <v>411</v>
      </c>
      <c r="D28" s="92" t="s">
        <v>1892</v>
      </c>
      <c r="E28" s="93" t="s">
        <v>1893</v>
      </c>
      <c r="F28" s="93" t="s">
        <v>1894</v>
      </c>
      <c r="G28" s="95" t="s">
        <v>1895</v>
      </c>
      <c r="H28" s="95" t="s">
        <v>1896</v>
      </c>
      <c r="I28" s="93" t="s">
        <v>1897</v>
      </c>
      <c r="J28" s="95" t="s">
        <v>1898</v>
      </c>
      <c r="K28" s="111">
        <f>VLOOKUP(C28, Calculation!$T$3:$AA$45,8,FALSE)</f>
        <v>1</v>
      </c>
    </row>
    <row r="29" spans="2:11" ht="400.2">
      <c r="B29" s="206" t="s">
        <v>1899</v>
      </c>
      <c r="C29" s="91" t="s">
        <v>1145</v>
      </c>
      <c r="D29" s="92" t="s">
        <v>1900</v>
      </c>
      <c r="E29" s="93" t="s">
        <v>1901</v>
      </c>
      <c r="F29" s="93" t="s">
        <v>1902</v>
      </c>
      <c r="G29" s="95" t="s">
        <v>1903</v>
      </c>
      <c r="H29" s="95" t="s">
        <v>1904</v>
      </c>
      <c r="I29" s="93" t="s">
        <v>1905</v>
      </c>
      <c r="J29" s="93" t="s">
        <v>1906</v>
      </c>
      <c r="K29" s="111">
        <f>VLOOKUP(C29, Calculation!$T$3:$AA$45,8,FALSE)</f>
        <v>2</v>
      </c>
    </row>
    <row r="30" spans="2:11" ht="345">
      <c r="B30" s="206"/>
      <c r="C30" s="91" t="s">
        <v>1178</v>
      </c>
      <c r="D30" s="92" t="s">
        <v>1907</v>
      </c>
      <c r="E30" s="93" t="s">
        <v>1908</v>
      </c>
      <c r="F30" s="93" t="s">
        <v>1909</v>
      </c>
      <c r="G30" s="95" t="s">
        <v>1910</v>
      </c>
      <c r="H30" s="95" t="s">
        <v>1911</v>
      </c>
      <c r="I30" s="93" t="s">
        <v>1912</v>
      </c>
      <c r="J30" s="93" t="s">
        <v>1913</v>
      </c>
      <c r="K30" s="111">
        <f>VLOOKUP(C30, Calculation!$T$3:$AA$45,8,FALSE)</f>
        <v>0</v>
      </c>
    </row>
    <row r="31" spans="2:11" ht="317.39999999999998">
      <c r="B31" s="206"/>
      <c r="C31" s="91" t="s">
        <v>1216</v>
      </c>
      <c r="D31" s="92" t="s">
        <v>1914</v>
      </c>
      <c r="E31" s="93" t="s">
        <v>1915</v>
      </c>
      <c r="F31" s="93" t="s">
        <v>1916</v>
      </c>
      <c r="G31" s="95" t="s">
        <v>1917</v>
      </c>
      <c r="H31" s="95" t="s">
        <v>1918</v>
      </c>
      <c r="I31" s="93" t="s">
        <v>1919</v>
      </c>
      <c r="J31" s="95" t="s">
        <v>1920</v>
      </c>
      <c r="K31" s="111">
        <f>VLOOKUP(C31, Calculation!$T$3:$AA$45,8,FALSE)</f>
        <v>0</v>
      </c>
    </row>
    <row r="32" spans="2:11" ht="124.2">
      <c r="B32" s="206" t="s">
        <v>1921</v>
      </c>
      <c r="C32" s="91" t="s">
        <v>1252</v>
      </c>
      <c r="D32" s="92" t="s">
        <v>1922</v>
      </c>
      <c r="E32" s="93" t="s">
        <v>1923</v>
      </c>
      <c r="F32" s="93" t="s">
        <v>1924</v>
      </c>
      <c r="G32" s="95" t="s">
        <v>1925</v>
      </c>
      <c r="H32" s="95" t="s">
        <v>1926</v>
      </c>
      <c r="I32" s="93" t="s">
        <v>1927</v>
      </c>
      <c r="J32" s="93" t="s">
        <v>1928</v>
      </c>
      <c r="K32" s="111">
        <f>VLOOKUP(C32, Calculation!$T$3:$AA$45,8,FALSE)</f>
        <v>2</v>
      </c>
    </row>
    <row r="33" spans="2:11" ht="276">
      <c r="B33" s="206"/>
      <c r="C33" s="91" t="s">
        <v>1272</v>
      </c>
      <c r="D33" s="92" t="s">
        <v>1929</v>
      </c>
      <c r="E33" s="93" t="s">
        <v>1930</v>
      </c>
      <c r="F33" s="93" t="s">
        <v>1931</v>
      </c>
      <c r="G33" s="95" t="s">
        <v>1932</v>
      </c>
      <c r="H33" s="95" t="s">
        <v>1933</v>
      </c>
      <c r="I33" s="95" t="s">
        <v>1934</v>
      </c>
      <c r="J33" s="95" t="s">
        <v>1935</v>
      </c>
      <c r="K33" s="111">
        <f>VLOOKUP(C33, Calculation!$T$3:$AA$45,8,FALSE)</f>
        <v>0</v>
      </c>
    </row>
    <row r="34" spans="2:11" ht="409.6">
      <c r="B34" s="206"/>
      <c r="C34" s="91" t="s">
        <v>1321</v>
      </c>
      <c r="D34" s="92" t="s">
        <v>1936</v>
      </c>
      <c r="E34" s="93" t="s">
        <v>1937</v>
      </c>
      <c r="F34" s="95" t="s">
        <v>1938</v>
      </c>
      <c r="G34" s="95" t="s">
        <v>1939</v>
      </c>
      <c r="H34" s="95" t="s">
        <v>1940</v>
      </c>
      <c r="I34" s="93" t="s">
        <v>1941</v>
      </c>
      <c r="J34" s="95" t="s">
        <v>1942</v>
      </c>
      <c r="K34" s="111">
        <f>VLOOKUP(C34, Calculation!$T$3:$AA$45,8,FALSE)</f>
        <v>0</v>
      </c>
    </row>
    <row r="35" spans="2:11" ht="409.6">
      <c r="B35" s="206"/>
      <c r="C35" s="91" t="s">
        <v>1397</v>
      </c>
      <c r="D35" s="92" t="s">
        <v>1943</v>
      </c>
      <c r="E35" s="93" t="s">
        <v>1944</v>
      </c>
      <c r="F35" s="93" t="s">
        <v>1945</v>
      </c>
      <c r="G35" s="95" t="s">
        <v>1946</v>
      </c>
      <c r="H35" s="95" t="s">
        <v>1947</v>
      </c>
      <c r="I35" s="93" t="s">
        <v>1948</v>
      </c>
      <c r="J35" s="95" t="s">
        <v>1949</v>
      </c>
      <c r="K35" s="111">
        <f>VLOOKUP(C35, Calculation!$T$3:$AA$45,8,FALSE)</f>
        <v>1</v>
      </c>
    </row>
    <row r="36" spans="2:11" ht="303.60000000000002">
      <c r="B36" s="206" t="s">
        <v>1950</v>
      </c>
      <c r="C36" s="91" t="s">
        <v>676</v>
      </c>
      <c r="D36" s="92" t="s">
        <v>1951</v>
      </c>
      <c r="E36" s="95" t="s">
        <v>1952</v>
      </c>
      <c r="F36" s="93" t="s">
        <v>1953</v>
      </c>
      <c r="G36" s="95" t="s">
        <v>1954</v>
      </c>
      <c r="H36" s="95" t="s">
        <v>1955</v>
      </c>
      <c r="I36" s="93" t="s">
        <v>1956</v>
      </c>
      <c r="J36" s="93" t="s">
        <v>1957</v>
      </c>
      <c r="K36" s="111">
        <f>VLOOKUP(C36, Calculation!$T$3:$AA$45,8,FALSE)</f>
        <v>0</v>
      </c>
    </row>
    <row r="37" spans="2:11" ht="207">
      <c r="B37" s="206"/>
      <c r="C37" s="91" t="s">
        <v>717</v>
      </c>
      <c r="D37" s="92" t="s">
        <v>1958</v>
      </c>
      <c r="E37" s="93" t="s">
        <v>1959</v>
      </c>
      <c r="F37" s="93" t="s">
        <v>1960</v>
      </c>
      <c r="G37" s="95" t="s">
        <v>1961</v>
      </c>
      <c r="H37" s="95" t="s">
        <v>1962</v>
      </c>
      <c r="I37" s="93" t="s">
        <v>1963</v>
      </c>
      <c r="J37" s="93" t="s">
        <v>1964</v>
      </c>
      <c r="K37" s="111">
        <f>VLOOKUP(C37, Calculation!$T$3:$AA$45,8,FALSE)</f>
        <v>0</v>
      </c>
    </row>
    <row r="38" spans="2:11" ht="262.2">
      <c r="B38" s="209" t="s">
        <v>1603</v>
      </c>
      <c r="C38" s="91" t="s">
        <v>1605</v>
      </c>
      <c r="D38" s="92" t="s">
        <v>1965</v>
      </c>
      <c r="E38" s="93" t="s">
        <v>1966</v>
      </c>
      <c r="F38" s="93" t="s">
        <v>1967</v>
      </c>
      <c r="G38" s="95" t="s">
        <v>1968</v>
      </c>
      <c r="H38" s="95" t="s">
        <v>1969</v>
      </c>
      <c r="I38" s="93" t="s">
        <v>1970</v>
      </c>
      <c r="J38" s="93" t="s">
        <v>1971</v>
      </c>
      <c r="K38" s="111">
        <f>VLOOKUP(C38, Calculation!$T$3:$AA$45,8,FALSE)</f>
        <v>0</v>
      </c>
    </row>
    <row r="39" spans="2:11" ht="276">
      <c r="B39" s="210"/>
      <c r="C39" s="91" t="s">
        <v>1645</v>
      </c>
      <c r="D39" s="92" t="s">
        <v>1972</v>
      </c>
      <c r="E39" s="93" t="s">
        <v>1973</v>
      </c>
      <c r="F39" s="93" t="s">
        <v>1974</v>
      </c>
      <c r="G39" s="95" t="s">
        <v>1975</v>
      </c>
      <c r="H39" s="95" t="s">
        <v>1976</v>
      </c>
      <c r="I39" s="93" t="s">
        <v>1977</v>
      </c>
      <c r="J39" s="93" t="s">
        <v>1978</v>
      </c>
      <c r="K39" s="111">
        <f>VLOOKUP(C39, Calculation!$T$3:$AA$45,8,FALSE)</f>
        <v>0</v>
      </c>
    </row>
    <row r="40" spans="2:11" ht="400.2">
      <c r="B40" s="211"/>
      <c r="C40" s="91" t="s">
        <v>1680</v>
      </c>
      <c r="D40" s="92" t="s">
        <v>1979</v>
      </c>
      <c r="E40" s="93" t="s">
        <v>1980</v>
      </c>
      <c r="F40" s="93" t="s">
        <v>1981</v>
      </c>
      <c r="G40" s="95" t="s">
        <v>1982</v>
      </c>
      <c r="H40" s="95" t="s">
        <v>1983</v>
      </c>
      <c r="I40" s="93" t="s">
        <v>1984</v>
      </c>
      <c r="J40" s="93" t="s">
        <v>1985</v>
      </c>
      <c r="K40" s="111">
        <f>VLOOKUP(C40, Calculation!$T$3:$AA$45,8,FALSE)</f>
        <v>0</v>
      </c>
    </row>
    <row r="41" spans="2:11" ht="331.2">
      <c r="B41" s="209" t="s">
        <v>1528</v>
      </c>
      <c r="C41" s="91" t="s">
        <v>1530</v>
      </c>
      <c r="D41" s="92" t="s">
        <v>1986</v>
      </c>
      <c r="E41" s="93" t="s">
        <v>1987</v>
      </c>
      <c r="F41" s="93" t="s">
        <v>1988</v>
      </c>
      <c r="G41" s="95" t="s">
        <v>1989</v>
      </c>
      <c r="H41" s="95" t="s">
        <v>1990</v>
      </c>
      <c r="I41" s="93" t="s">
        <v>1991</v>
      </c>
      <c r="J41" s="93" t="s">
        <v>1992</v>
      </c>
      <c r="K41" s="111">
        <f>VLOOKUP(C41, Calculation!$T$3:$AA$45,8,FALSE)</f>
        <v>0</v>
      </c>
    </row>
    <row r="42" spans="2:11" ht="345">
      <c r="B42" s="211"/>
      <c r="C42" s="91" t="s">
        <v>1558</v>
      </c>
      <c r="D42" s="92" t="s">
        <v>1993</v>
      </c>
      <c r="E42" s="93" t="s">
        <v>1994</v>
      </c>
      <c r="F42" s="93" t="s">
        <v>1995</v>
      </c>
      <c r="G42" s="95" t="s">
        <v>1996</v>
      </c>
      <c r="H42" s="95" t="s">
        <v>1997</v>
      </c>
      <c r="I42" s="93" t="s">
        <v>1998</v>
      </c>
      <c r="J42" s="93" t="s">
        <v>1999</v>
      </c>
      <c r="K42" s="111">
        <f>VLOOKUP(C42, Calculation!$T$3:$AA$45,8,FALSE)</f>
        <v>0</v>
      </c>
    </row>
    <row r="43" spans="2:11" ht="110.4">
      <c r="B43" s="206" t="s">
        <v>195</v>
      </c>
      <c r="C43" s="91" t="s">
        <v>197</v>
      </c>
      <c r="D43" s="92" t="s">
        <v>2000</v>
      </c>
      <c r="E43" s="93" t="s">
        <v>2001</v>
      </c>
      <c r="F43" s="93" t="s">
        <v>2002</v>
      </c>
      <c r="G43" s="93" t="s">
        <v>2003</v>
      </c>
      <c r="H43" s="93" t="s">
        <v>2004</v>
      </c>
      <c r="I43" s="93" t="s">
        <v>2005</v>
      </c>
      <c r="J43" s="93" t="s">
        <v>2006</v>
      </c>
      <c r="K43" s="111">
        <f>VLOOKUP(C43, Calculation!$T$3:$AA$45,8,FALSE)</f>
        <v>2</v>
      </c>
    </row>
    <row r="44" spans="2:11" ht="400.2">
      <c r="B44" s="206"/>
      <c r="C44" s="91" t="s">
        <v>214</v>
      </c>
      <c r="D44" s="92" t="s">
        <v>2007</v>
      </c>
      <c r="E44" s="93" t="s">
        <v>2008</v>
      </c>
      <c r="F44" s="93" t="s">
        <v>2009</v>
      </c>
      <c r="G44" s="95" t="s">
        <v>2010</v>
      </c>
      <c r="H44" s="95" t="s">
        <v>2011</v>
      </c>
      <c r="I44" s="93" t="s">
        <v>2012</v>
      </c>
      <c r="J44" s="95" t="s">
        <v>2013</v>
      </c>
      <c r="K44" s="111">
        <f>VLOOKUP(C44, Calculation!$T$3:$AA$45,8,FALSE)</f>
        <v>2</v>
      </c>
    </row>
    <row r="45" spans="2:11" ht="138">
      <c r="B45" s="206"/>
      <c r="C45" s="91" t="s">
        <v>259</v>
      </c>
      <c r="D45" s="92" t="s">
        <v>2014</v>
      </c>
      <c r="E45" s="93" t="s">
        <v>2015</v>
      </c>
      <c r="F45" s="93" t="s">
        <v>2016</v>
      </c>
      <c r="G45" s="93" t="s">
        <v>2017</v>
      </c>
      <c r="H45" s="95" t="s">
        <v>2018</v>
      </c>
      <c r="I45" s="93" t="s">
        <v>2019</v>
      </c>
      <c r="J45" s="93" t="s">
        <v>2020</v>
      </c>
      <c r="K45" s="111">
        <f>VLOOKUP(C45, Calculation!$T$3:$AA$45,8,FALSE)</f>
        <v>1</v>
      </c>
    </row>
    <row r="46" spans="2:11" ht="289.8">
      <c r="B46" s="206" t="s">
        <v>2021</v>
      </c>
      <c r="C46" s="91" t="s">
        <v>592</v>
      </c>
      <c r="D46" s="92" t="s">
        <v>2022</v>
      </c>
      <c r="E46" s="95" t="s">
        <v>2023</v>
      </c>
      <c r="F46" s="95" t="s">
        <v>2024</v>
      </c>
      <c r="G46" s="93" t="s">
        <v>2025</v>
      </c>
      <c r="H46" s="95" t="s">
        <v>2026</v>
      </c>
      <c r="I46" s="93" t="s">
        <v>2027</v>
      </c>
      <c r="J46" s="93" t="s">
        <v>2028</v>
      </c>
      <c r="K46" s="111">
        <f>VLOOKUP(C46, Calculation!$T$3:$AA$45,8,FALSE)</f>
        <v>1</v>
      </c>
    </row>
    <row r="47" spans="2:11" ht="359.4" thickBot="1">
      <c r="B47" s="207"/>
      <c r="C47" s="107" t="s">
        <v>619</v>
      </c>
      <c r="D47" s="108" t="s">
        <v>2029</v>
      </c>
      <c r="E47" s="109" t="s">
        <v>2030</v>
      </c>
      <c r="F47" s="110" t="s">
        <v>2031</v>
      </c>
      <c r="G47" s="110" t="s">
        <v>2032</v>
      </c>
      <c r="H47" s="110" t="s">
        <v>2033</v>
      </c>
      <c r="I47" s="110" t="s">
        <v>2034</v>
      </c>
      <c r="J47" s="110" t="s">
        <v>2035</v>
      </c>
      <c r="K47" s="111">
        <f>VLOOKUP(C47, Calculation!$T$3:$AA$45,8,FALSE)</f>
        <v>1</v>
      </c>
    </row>
    <row r="48" spans="2:11"/>
    <row r="49"/>
    <row r="50"/>
    <row r="51"/>
    <row r="52"/>
    <row r="53"/>
    <row r="54"/>
    <row r="55"/>
    <row r="56"/>
  </sheetData>
  <mergeCells count="19">
    <mergeCell ref="K3:K5"/>
    <mergeCell ref="B10:B12"/>
    <mergeCell ref="B3:B5"/>
    <mergeCell ref="C3:C5"/>
    <mergeCell ref="D3:D5"/>
    <mergeCell ref="E3:J3"/>
    <mergeCell ref="B6:B9"/>
    <mergeCell ref="B32:B35"/>
    <mergeCell ref="B36:B37"/>
    <mergeCell ref="B43:B45"/>
    <mergeCell ref="B46:B47"/>
    <mergeCell ref="B13:B16"/>
    <mergeCell ref="B17:B19"/>
    <mergeCell ref="B20:B22"/>
    <mergeCell ref="B23:B24"/>
    <mergeCell ref="B25:B28"/>
    <mergeCell ref="B29:B31"/>
    <mergeCell ref="B38:B40"/>
    <mergeCell ref="B41:B42"/>
  </mergeCells>
  <conditionalFormatting sqref="K6:K47">
    <cfRule type="cellIs" dxfId="8" priority="6" operator="equal">
      <formula>5</formula>
    </cfRule>
    <cfRule type="cellIs" dxfId="7" priority="7" operator="equal">
      <formula>4</formula>
    </cfRule>
    <cfRule type="cellIs" dxfId="6" priority="8" operator="equal">
      <formula>3</formula>
    </cfRule>
    <cfRule type="cellIs" dxfId="5" priority="9" operator="equal">
      <formula>2</formula>
    </cfRule>
    <cfRule type="cellIs" dxfId="4" priority="10" operator="equal">
      <formula>1</formula>
    </cfRule>
    <cfRule type="cellIs" dxfId="3" priority="11"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F91B-D075-4F7B-A5F3-9A60C4E238E9}">
  <dimension ref="A1:XFC195"/>
  <sheetViews>
    <sheetView topLeftCell="B68" zoomScale="115" zoomScaleNormal="115" workbookViewId="0">
      <selection activeCell="B70" sqref="B70"/>
    </sheetView>
  </sheetViews>
  <sheetFormatPr defaultColWidth="0" defaultRowHeight="66" customHeight="1" zeroHeight="1"/>
  <cols>
    <col min="1" max="1" width="18.33203125" bestFit="1" customWidth="1"/>
    <col min="2" max="2" width="9.33203125" bestFit="1" customWidth="1"/>
    <col min="3" max="3" width="24.5546875" bestFit="1" customWidth="1"/>
    <col min="4" max="4" width="165.33203125" customWidth="1"/>
    <col min="5" max="5" width="14" bestFit="1" customWidth="1"/>
    <col min="6" max="6" width="24.33203125" bestFit="1" customWidth="1"/>
    <col min="7" max="7" width="17" hidden="1" customWidth="1"/>
    <col min="8" max="16383" width="8.88671875" hidden="1"/>
    <col min="16384" max="16384" width="0.33203125" hidden="1"/>
  </cols>
  <sheetData>
    <row r="1" spans="1:7" ht="14.4">
      <c r="A1" s="220" t="s">
        <v>1723</v>
      </c>
      <c r="B1" s="222" t="s">
        <v>1724</v>
      </c>
      <c r="C1" s="220" t="s">
        <v>2036</v>
      </c>
      <c r="D1" s="220" t="s">
        <v>2037</v>
      </c>
      <c r="E1" s="220" t="s">
        <v>9</v>
      </c>
      <c r="F1" s="220" t="s">
        <v>2038</v>
      </c>
    </row>
    <row r="2" spans="1:7" ht="14.4">
      <c r="A2" s="220"/>
      <c r="B2" s="222"/>
      <c r="C2" s="220"/>
      <c r="D2" s="220"/>
      <c r="E2" s="220"/>
      <c r="F2" s="220"/>
    </row>
    <row r="3" spans="1:7" ht="14.4">
      <c r="A3" s="220"/>
      <c r="B3" s="222"/>
      <c r="C3" s="220"/>
      <c r="D3" s="220"/>
      <c r="E3" s="220"/>
      <c r="F3" s="220"/>
    </row>
    <row r="4" spans="1:7" ht="92.4">
      <c r="A4" s="223" t="s">
        <v>2039</v>
      </c>
      <c r="B4" s="51" t="s">
        <v>28</v>
      </c>
      <c r="C4" s="46" t="s">
        <v>2040</v>
      </c>
      <c r="D4" s="47" t="s">
        <v>2041</v>
      </c>
      <c r="E4" s="48" t="s">
        <v>27</v>
      </c>
      <c r="F4" s="49" t="str">
        <f>IF(G4="Yes","Fully Compliant",IF(G4="Under Development","Partially Compliant","Non-Compliant"))</f>
        <v>Fully Compliant</v>
      </c>
      <c r="G4" t="str">
        <f>IF(VLOOKUP(B4,Master!$I$5:$L$542, 3, 0)&lt;&gt;0, VLOOKUP(B4,Master!$I$5:$L$542, 3, 0), "")</f>
        <v>Yes</v>
      </c>
    </row>
    <row r="5" spans="1:7" ht="92.4">
      <c r="A5" s="223"/>
      <c r="B5" s="51" t="s">
        <v>34</v>
      </c>
      <c r="C5" s="46" t="s">
        <v>2042</v>
      </c>
      <c r="D5" s="47" t="s">
        <v>2043</v>
      </c>
      <c r="E5" s="48" t="s">
        <v>27</v>
      </c>
      <c r="F5" s="49" t="str">
        <f>IF(G5="Yes","Fully Compliant",IF(G5="Under Development","Partially Compliant","Non-Compliant"))</f>
        <v>Fully Compliant</v>
      </c>
      <c r="G5" t="str">
        <f>IF(VLOOKUP(B5,Master!$I$5:$L$542, 3, 0)&lt;&gt;0, VLOOKUP(B5,Master!$I$5:$L$542, 3, 0), "")</f>
        <v>Yes</v>
      </c>
    </row>
    <row r="6" spans="1:7">
      <c r="A6" s="223"/>
      <c r="B6" s="51" t="s">
        <v>43</v>
      </c>
      <c r="C6" s="46" t="s">
        <v>2044</v>
      </c>
      <c r="D6" s="47" t="s">
        <v>2045</v>
      </c>
      <c r="E6" s="48" t="s">
        <v>27</v>
      </c>
      <c r="F6" s="49" t="str">
        <f t="shared" ref="F6:F68" si="0">IF(G6="Yes","Fully Compliant",IF(G6="Under Development","Partially Compliant","Non-Compliant"))</f>
        <v>Fully Compliant</v>
      </c>
      <c r="G6" t="str">
        <f>IF(VLOOKUP(B6,Master!$I$5:$L$542, 3, 0)&lt;&gt;0, VLOOKUP(B6,Master!$I$5:$L$542, 3, 0), "")</f>
        <v>Yes</v>
      </c>
    </row>
    <row r="7" spans="1:7" ht="26.4">
      <c r="A7" s="223"/>
      <c r="B7" s="51" t="s">
        <v>38</v>
      </c>
      <c r="C7" s="46" t="s">
        <v>2046</v>
      </c>
      <c r="D7" s="47" t="s">
        <v>2047</v>
      </c>
      <c r="E7" s="48" t="s">
        <v>27</v>
      </c>
      <c r="F7" s="49" t="str">
        <f t="shared" si="0"/>
        <v>Fully Compliant</v>
      </c>
      <c r="G7" t="str">
        <f>IF(AND(Master!K8 = "Yes", Master!K43 = "Yes"), "Yes", IF(OR(Master!K8 = "Yes", Master!K43 = "Yes"), "Under Development", "No"))</f>
        <v>Yes</v>
      </c>
    </row>
    <row r="8" spans="1:7" ht="79.2">
      <c r="A8" s="223"/>
      <c r="B8" s="51" t="s">
        <v>65</v>
      </c>
      <c r="C8" s="46" t="s">
        <v>2048</v>
      </c>
      <c r="D8" s="47" t="s">
        <v>2049</v>
      </c>
      <c r="E8" s="48" t="s">
        <v>27</v>
      </c>
      <c r="F8" s="49" t="str">
        <f>IF(G8="Yes","Fully Compliant",IF(G8="Under Development","Partially Compliant","Non-Compliant"))</f>
        <v>Fully Compliant</v>
      </c>
      <c r="G8" t="str">
        <f>IF(VLOOKUP(B8,Master!$I$5:$L$542, 3, 0)&lt;&gt;0, VLOOKUP(B8,Master!$I$5:$L$542, 3, 0), "")</f>
        <v>Yes</v>
      </c>
    </row>
    <row r="9" spans="1:7" ht="39.6">
      <c r="A9" s="223"/>
      <c r="B9" s="51" t="s">
        <v>69</v>
      </c>
      <c r="C9" s="46" t="s">
        <v>2050</v>
      </c>
      <c r="D9" s="47" t="s">
        <v>2051</v>
      </c>
      <c r="E9" s="48" t="s">
        <v>27</v>
      </c>
      <c r="F9" s="49" t="str">
        <f t="shared" si="0"/>
        <v>Partially Compliant</v>
      </c>
      <c r="G9" t="str">
        <f>IF(VLOOKUP(B9,Master!$I$5:$L$542, 3, 0)&lt;&gt;0, VLOOKUP(B9,Master!$I$5:$L$542, 3, 0), "")</f>
        <v>Under Development</v>
      </c>
    </row>
    <row r="10" spans="1:7">
      <c r="A10" s="223"/>
      <c r="B10" s="51" t="s">
        <v>166</v>
      </c>
      <c r="C10" s="46" t="s">
        <v>2052</v>
      </c>
      <c r="D10" s="47" t="s">
        <v>2053</v>
      </c>
      <c r="E10" s="48" t="s">
        <v>27</v>
      </c>
      <c r="F10" s="49" t="str">
        <f t="shared" si="0"/>
        <v>Partially Compliant</v>
      </c>
      <c r="G10" t="str">
        <f>IF(VLOOKUP(B10,Master!$I$5:$L$542, 3, 0)&lt;&gt;0, VLOOKUP(B10,Master!$I$5:$L$542, 3, 0), "")</f>
        <v>Under Development</v>
      </c>
    </row>
    <row r="11" spans="1:7" ht="26.4">
      <c r="A11" s="223"/>
      <c r="B11" s="51" t="s">
        <v>99</v>
      </c>
      <c r="C11" s="46" t="s">
        <v>2054</v>
      </c>
      <c r="D11" s="47" t="s">
        <v>2055</v>
      </c>
      <c r="E11" s="48" t="s">
        <v>27</v>
      </c>
      <c r="F11" s="49" t="str">
        <f t="shared" si="0"/>
        <v>Fully Compliant</v>
      </c>
      <c r="G11" t="str">
        <f>IF(VLOOKUP(B11,Master!$I$5:$L$542, 3, 0)&lt;&gt;0, VLOOKUP(B11,Master!$I$5:$L$542, 3, 0), "")</f>
        <v>Yes</v>
      </c>
    </row>
    <row r="12" spans="1:7" ht="26.4">
      <c r="A12" s="223"/>
      <c r="B12" s="51" t="s">
        <v>111</v>
      </c>
      <c r="C12" s="46" t="s">
        <v>2056</v>
      </c>
      <c r="D12" s="47" t="s">
        <v>2057</v>
      </c>
      <c r="E12" s="48" t="s">
        <v>27</v>
      </c>
      <c r="F12" s="49" t="str">
        <f t="shared" si="0"/>
        <v>Fully Compliant</v>
      </c>
      <c r="G12" t="str">
        <f>IF(VLOOKUP(B12,Master!$I$5:$L$542, 3, 0)&lt;&gt;0, VLOOKUP(B12,Master!$I$5:$L$542, 3, 0), "")</f>
        <v>Yes</v>
      </c>
    </row>
    <row r="13" spans="1:7" ht="26.4">
      <c r="A13" s="223"/>
      <c r="B13" s="51" t="s">
        <v>103</v>
      </c>
      <c r="C13" s="46" t="s">
        <v>2058</v>
      </c>
      <c r="D13" s="47" t="s">
        <v>2059</v>
      </c>
      <c r="E13" s="48" t="s">
        <v>27</v>
      </c>
      <c r="F13" s="49" t="str">
        <f t="shared" si="0"/>
        <v>Partially Compliant</v>
      </c>
      <c r="G13" t="str">
        <f>IF(VLOOKUP(B13,Master!$I$5:$L$542, 3, 0)&lt;&gt;0, VLOOKUP(B13,Master!$I$5:$L$542, 3, 0), "")</f>
        <v>Under Development</v>
      </c>
    </row>
    <row r="14" spans="1:7" ht="26.4">
      <c r="A14" s="223"/>
      <c r="B14" s="51" t="s">
        <v>107</v>
      </c>
      <c r="C14" s="46" t="s">
        <v>2060</v>
      </c>
      <c r="D14" s="47" t="s">
        <v>2061</v>
      </c>
      <c r="E14" s="48" t="s">
        <v>27</v>
      </c>
      <c r="F14" s="49" t="str">
        <f t="shared" si="0"/>
        <v>Fully Compliant</v>
      </c>
      <c r="G14" t="str">
        <f>IF(VLOOKUP(B14,Master!$I$5:$L$542, 3, 0)&lt;&gt;0, VLOOKUP(B14,Master!$I$5:$L$542, 3, 0), "")</f>
        <v>Yes</v>
      </c>
    </row>
    <row r="15" spans="1:7" ht="26.4">
      <c r="A15" s="223"/>
      <c r="B15" s="51" t="s">
        <v>139</v>
      </c>
      <c r="C15" s="46" t="s">
        <v>2062</v>
      </c>
      <c r="D15" s="47" t="s">
        <v>2063</v>
      </c>
      <c r="E15" s="48" t="s">
        <v>27</v>
      </c>
      <c r="F15" s="49" t="str">
        <f t="shared" si="0"/>
        <v>Partially Compliant</v>
      </c>
      <c r="G15" t="str">
        <f>IF(VLOOKUP(B15,Master!$I$5:$L$542, 3, 0)&lt;&gt;0, VLOOKUP(B15,Master!$I$5:$L$542, 3, 0), "")</f>
        <v>Under Development</v>
      </c>
    </row>
    <row r="16" spans="1:7" ht="26.4">
      <c r="A16" s="223"/>
      <c r="B16" s="51" t="s">
        <v>115</v>
      </c>
      <c r="C16" s="46" t="s">
        <v>2064</v>
      </c>
      <c r="D16" s="47" t="s">
        <v>2065</v>
      </c>
      <c r="E16" s="48" t="s">
        <v>27</v>
      </c>
      <c r="F16" s="49" t="str">
        <f t="shared" si="0"/>
        <v>Fully Compliant</v>
      </c>
      <c r="G16" t="str">
        <f>IF(VLOOKUP(B16,Master!$I$5:$L$542, 3, 0)&lt;&gt;0, VLOOKUP(B16,Master!$I$5:$L$542, 3, 0), "")</f>
        <v>Yes</v>
      </c>
    </row>
    <row r="17" spans="1:7" ht="26.4">
      <c r="A17" s="223"/>
      <c r="B17" s="51" t="s">
        <v>135</v>
      </c>
      <c r="C17" s="46" t="s">
        <v>2066</v>
      </c>
      <c r="D17" s="47" t="s">
        <v>2067</v>
      </c>
      <c r="E17" s="48" t="s">
        <v>27</v>
      </c>
      <c r="F17" s="49" t="str">
        <f t="shared" si="0"/>
        <v>Fully Compliant</v>
      </c>
      <c r="G17" t="str">
        <f>IF(VLOOKUP(B17,Master!$I$5:$L$542, 3, 0)&lt;&gt;0, VLOOKUP(B17,Master!$I$5:$L$542, 3, 0), "")</f>
        <v>Yes</v>
      </c>
    </row>
    <row r="18" spans="1:7" ht="26.4">
      <c r="A18" s="223"/>
      <c r="B18" s="51" t="s">
        <v>119</v>
      </c>
      <c r="C18" s="46" t="s">
        <v>2068</v>
      </c>
      <c r="D18" s="47" t="s">
        <v>2069</v>
      </c>
      <c r="E18" s="48" t="s">
        <v>27</v>
      </c>
      <c r="F18" s="49" t="str">
        <f t="shared" si="0"/>
        <v>Fully Compliant</v>
      </c>
      <c r="G18" t="str">
        <f>IF(VLOOKUP(B18,Master!$I$5:$L$542, 3, 0)&lt;&gt;0, VLOOKUP(B18,Master!$I$5:$L$542, 3, 0), "")</f>
        <v>Yes</v>
      </c>
    </row>
    <row r="19" spans="1:7" ht="26.4">
      <c r="A19" s="223"/>
      <c r="B19" s="51" t="s">
        <v>127</v>
      </c>
      <c r="C19" s="46" t="s">
        <v>2070</v>
      </c>
      <c r="D19" s="47" t="s">
        <v>2071</v>
      </c>
      <c r="E19" s="48" t="s">
        <v>27</v>
      </c>
      <c r="F19" s="49" t="str">
        <f t="shared" si="0"/>
        <v>Partially Compliant</v>
      </c>
      <c r="G19" t="str">
        <f>IF(VLOOKUP(B19,Master!$I$5:$L$542, 3, 0)&lt;&gt;0, VLOOKUP(B19,Master!$I$5:$L$542, 3, 0), "")</f>
        <v>Under Development</v>
      </c>
    </row>
    <row r="20" spans="1:7" ht="26.4">
      <c r="A20" s="223"/>
      <c r="B20" s="51" t="s">
        <v>131</v>
      </c>
      <c r="C20" s="46" t="s">
        <v>2072</v>
      </c>
      <c r="D20" s="47" t="s">
        <v>2073</v>
      </c>
      <c r="E20" s="48" t="s">
        <v>27</v>
      </c>
      <c r="F20" s="49" t="str">
        <f t="shared" si="0"/>
        <v>Partially Compliant</v>
      </c>
      <c r="G20" t="str">
        <f>IF(VLOOKUP(B20,Master!$I$5:$L$542, 3, 0)&lt;&gt;0, VLOOKUP(B20,Master!$I$5:$L$542, 3, 0), "")</f>
        <v>Under Development</v>
      </c>
    </row>
    <row r="21" spans="1:7" ht="26.4">
      <c r="A21" s="223"/>
      <c r="B21" s="51" t="s">
        <v>123</v>
      </c>
      <c r="C21" s="46" t="s">
        <v>2074</v>
      </c>
      <c r="D21" s="47" t="s">
        <v>2075</v>
      </c>
      <c r="E21" s="48" t="s">
        <v>27</v>
      </c>
      <c r="F21" s="49" t="str">
        <f t="shared" si="0"/>
        <v>Fully Compliant</v>
      </c>
      <c r="G21" t="str">
        <f>IF(VLOOKUP(B21,Master!$I$5:$L$542, 3, 0)&lt;&gt;0, VLOOKUP(B21,Master!$I$5:$L$542, 3, 0), "")</f>
        <v>Yes</v>
      </c>
    </row>
    <row r="22" spans="1:7" ht="79.2">
      <c r="A22" s="223"/>
      <c r="B22" s="51" t="s">
        <v>79</v>
      </c>
      <c r="C22" s="46" t="s">
        <v>2076</v>
      </c>
      <c r="D22" s="47" t="s">
        <v>2077</v>
      </c>
      <c r="E22" s="48" t="s">
        <v>55</v>
      </c>
      <c r="F22" s="49" t="str">
        <f t="shared" si="0"/>
        <v>Partially Compliant</v>
      </c>
      <c r="G22" t="str">
        <f>IF(VLOOKUP(B22,Master!$I$5:$L$542, 3, 0)&lt;&gt;0, VLOOKUP(B22,Master!$I$5:$L$542, 3, 0), "")</f>
        <v>Under Development</v>
      </c>
    </row>
    <row r="23" spans="1:7">
      <c r="A23" s="223"/>
      <c r="B23" s="51" t="s">
        <v>87</v>
      </c>
      <c r="C23" s="46" t="s">
        <v>2078</v>
      </c>
      <c r="D23" s="47" t="s">
        <v>2079</v>
      </c>
      <c r="E23" s="48" t="s">
        <v>55</v>
      </c>
      <c r="F23" s="49" t="str">
        <f t="shared" si="0"/>
        <v>Fully Compliant</v>
      </c>
      <c r="G23" t="str">
        <f>IF(VLOOKUP(B23,Master!$I$5:$L$542, 3, 0)&lt;&gt;0, VLOOKUP(B23,Master!$I$5:$L$542, 3, 0), "")</f>
        <v>Yes</v>
      </c>
    </row>
    <row r="24" spans="1:7" ht="26.4">
      <c r="A24" s="223"/>
      <c r="B24" s="51" t="s">
        <v>91</v>
      </c>
      <c r="C24" s="46" t="s">
        <v>2080</v>
      </c>
      <c r="D24" s="47" t="s">
        <v>2081</v>
      </c>
      <c r="E24" s="48" t="s">
        <v>55</v>
      </c>
      <c r="F24" s="49" t="str">
        <f t="shared" si="0"/>
        <v>Partially Compliant</v>
      </c>
      <c r="G24" t="str">
        <f>IF(VLOOKUP(B24,Master!$I$5:$L$542, 3, 0)&lt;&gt;0, VLOOKUP(B24,Master!$I$5:$L$542, 3, 0), "")</f>
        <v>Under Development</v>
      </c>
    </row>
    <row r="25" spans="1:7" ht="26.4">
      <c r="A25" s="223"/>
      <c r="B25" s="51" t="s">
        <v>56</v>
      </c>
      <c r="C25" s="46" t="s">
        <v>2082</v>
      </c>
      <c r="D25" s="47" t="s">
        <v>2083</v>
      </c>
      <c r="E25" s="48" t="s">
        <v>55</v>
      </c>
      <c r="F25" s="49" t="str">
        <f t="shared" si="0"/>
        <v>Non-Compliant</v>
      </c>
      <c r="G25" t="str">
        <f>IF(VLOOKUP(B25,Master!$I$5:$L$542, 3, 0)&lt;&gt;0, VLOOKUP(B25,Master!$I$5:$L$542, 3, 0), "")</f>
        <v>No</v>
      </c>
    </row>
    <row r="26" spans="1:7" ht="92.4">
      <c r="A26" s="223"/>
      <c r="B26" s="51" t="s">
        <v>170</v>
      </c>
      <c r="C26" s="46" t="s">
        <v>2084</v>
      </c>
      <c r="D26" s="47" t="s">
        <v>2085</v>
      </c>
      <c r="E26" s="48" t="s">
        <v>55</v>
      </c>
      <c r="F26" s="49" t="str">
        <f t="shared" si="0"/>
        <v>Non-Compliant</v>
      </c>
      <c r="G26" t="str">
        <f>IF(VLOOKUP(B26,Master!$I$5:$L$542, 3, 0)&lt;&gt;0, VLOOKUP(B26,Master!$I$5:$L$542, 3, 0), "")</f>
        <v>No</v>
      </c>
    </row>
    <row r="27" spans="1:7" ht="118.8">
      <c r="A27" s="223"/>
      <c r="B27" s="51" t="s">
        <v>2086</v>
      </c>
      <c r="C27" s="46" t="s">
        <v>2087</v>
      </c>
      <c r="D27" s="47" t="s">
        <v>2088</v>
      </c>
      <c r="E27" s="48" t="s">
        <v>55</v>
      </c>
      <c r="F27" s="49" t="str">
        <f t="shared" si="0"/>
        <v>Non-Compliant</v>
      </c>
      <c r="G27" t="str">
        <f>IF(AND(Master!K19 = "Yes", Master!K36 = "Yes", Master!K47 = "Yes"), "Yes", IF(OR(Master!K19 = "Yes", Master!K36 = "Yes", Master!K47 = "Yes"), "Under Development", "No"))</f>
        <v>No</v>
      </c>
    </row>
    <row r="28" spans="1:7" ht="26.4">
      <c r="A28" s="223"/>
      <c r="B28" s="51" t="s">
        <v>60</v>
      </c>
      <c r="C28" s="46" t="s">
        <v>2089</v>
      </c>
      <c r="D28" s="47" t="s">
        <v>2090</v>
      </c>
      <c r="E28" s="48" t="s">
        <v>55</v>
      </c>
      <c r="F28" s="49" t="str">
        <f t="shared" si="0"/>
        <v>Partially Compliant</v>
      </c>
      <c r="G28" t="str">
        <f>IF(VLOOKUP(B28,Master!$I$5:$L$542, 3, 0)&lt;&gt;0, VLOOKUP(B28,Master!$I$5:$L$542, 3, 0), "")</f>
        <v>Under Development</v>
      </c>
    </row>
    <row r="29" spans="1:7" ht="26.4">
      <c r="A29" s="223"/>
      <c r="B29" s="51" t="s">
        <v>177</v>
      </c>
      <c r="C29" s="46" t="s">
        <v>2091</v>
      </c>
      <c r="D29" s="47" t="s">
        <v>2092</v>
      </c>
      <c r="E29" s="48" t="s">
        <v>55</v>
      </c>
      <c r="F29" s="49" t="str">
        <f t="shared" si="0"/>
        <v>Partially Compliant</v>
      </c>
      <c r="G29" t="str">
        <f>IF(VLOOKUP(B29,Master!$I$5:$L$542, 3, 0)&lt;&gt;0, VLOOKUP(B29,Master!$I$5:$L$542, 3, 0), "")</f>
        <v>Under Development</v>
      </c>
    </row>
    <row r="30" spans="1:7" ht="26.4">
      <c r="A30" s="223"/>
      <c r="B30" s="51" t="s">
        <v>182</v>
      </c>
      <c r="C30" s="46" t="s">
        <v>2093</v>
      </c>
      <c r="D30" s="47" t="s">
        <v>2094</v>
      </c>
      <c r="E30" s="48" t="s">
        <v>181</v>
      </c>
      <c r="F30" s="49" t="str">
        <f t="shared" si="0"/>
        <v>Partially Compliant</v>
      </c>
      <c r="G30" t="str">
        <f>IF(VLOOKUP(B30,Master!$I$5:$L$542, 3, 0)&lt;&gt;0, VLOOKUP(B30,Master!$I$5:$L$542, 3, 0), "")</f>
        <v>Under Development</v>
      </c>
    </row>
    <row r="31" spans="1:7" ht="14.4">
      <c r="A31" s="223"/>
      <c r="B31" s="51" t="s">
        <v>186</v>
      </c>
      <c r="C31" s="46" t="s">
        <v>2095</v>
      </c>
      <c r="D31" s="47" t="s">
        <v>2096</v>
      </c>
      <c r="E31" s="48" t="s">
        <v>55</v>
      </c>
      <c r="F31" s="49" t="str">
        <f t="shared" si="0"/>
        <v>Fully Compliant</v>
      </c>
      <c r="G31" t="str">
        <f>IF(VLOOKUP(B31,Master!$I$5:$L$542, 3, 0)&lt;&gt;0, VLOOKUP(B31,Master!$I$5:$L$542, 3, 0), "")</f>
        <v>Yes</v>
      </c>
    </row>
    <row r="32" spans="1:7">
      <c r="A32" s="223" t="s">
        <v>1001</v>
      </c>
      <c r="B32" s="51" t="s">
        <v>1009</v>
      </c>
      <c r="C32" s="46" t="s">
        <v>2097</v>
      </c>
      <c r="D32" s="47" t="s">
        <v>2098</v>
      </c>
      <c r="E32" s="48" t="s">
        <v>27</v>
      </c>
      <c r="F32" s="49" t="str">
        <f t="shared" si="0"/>
        <v>Fully Compliant</v>
      </c>
      <c r="G32" t="str">
        <f>IF(VLOOKUP(B32,Master!$I$5:$L$542, 3, 0)&lt;&gt;0, VLOOKUP(B32,Master!$I$5:$L$542, 3, 0), "")</f>
        <v>Yes</v>
      </c>
    </row>
    <row r="33" spans="1:7" ht="26.4">
      <c r="A33" s="223"/>
      <c r="B33" s="51" t="s">
        <v>1036</v>
      </c>
      <c r="C33" s="46" t="s">
        <v>2099</v>
      </c>
      <c r="D33" s="47" t="s">
        <v>2100</v>
      </c>
      <c r="E33" s="48" t="s">
        <v>27</v>
      </c>
      <c r="F33" s="49" t="str">
        <f t="shared" si="0"/>
        <v>Non-Compliant</v>
      </c>
      <c r="G33" t="str">
        <f>IF(VLOOKUP(B33,Master!$I$5:$L$542, 3, 0)&lt;&gt;0, VLOOKUP(B33,Master!$I$5:$L$542, 3, 0), "")</f>
        <v>No</v>
      </c>
    </row>
    <row r="34" spans="1:7">
      <c r="A34" s="223"/>
      <c r="B34" s="51" t="s">
        <v>1040</v>
      </c>
      <c r="C34" s="46" t="s">
        <v>2101</v>
      </c>
      <c r="D34" s="47" t="s">
        <v>2102</v>
      </c>
      <c r="E34" s="48" t="s">
        <v>27</v>
      </c>
      <c r="F34" s="49" t="str">
        <f t="shared" si="0"/>
        <v>Non-Compliant</v>
      </c>
      <c r="G34" t="str">
        <f>IF(VLOOKUP(B34,Master!$I$5:$L$542, 3, 0)&lt;&gt;0, VLOOKUP(B34,Master!$I$5:$L$542, 3, 0), "")</f>
        <v>No</v>
      </c>
    </row>
    <row r="35" spans="1:7" ht="14.4">
      <c r="A35" s="223"/>
      <c r="B35" s="51" t="s">
        <v>1054</v>
      </c>
      <c r="C35" s="46" t="s">
        <v>2103</v>
      </c>
      <c r="D35" s="47" t="s">
        <v>2104</v>
      </c>
      <c r="E35" s="48" t="s">
        <v>55</v>
      </c>
      <c r="F35" s="49" t="str">
        <f t="shared" si="0"/>
        <v>Non-Compliant</v>
      </c>
      <c r="G35" t="str">
        <f>IF(VLOOKUP(B35,Master!$I$5:$L$542, 3, 0)&lt;&gt;0, VLOOKUP(B35,Master!$I$5:$L$542, 3, 0), "")</f>
        <v>No</v>
      </c>
    </row>
    <row r="36" spans="1:7" ht="39.6">
      <c r="A36" s="223"/>
      <c r="B36" s="51" t="s">
        <v>1058</v>
      </c>
      <c r="C36" s="46" t="s">
        <v>2105</v>
      </c>
      <c r="D36" s="47" t="s">
        <v>2106</v>
      </c>
      <c r="E36" s="48" t="s">
        <v>55</v>
      </c>
      <c r="F36" s="49" t="str">
        <f t="shared" si="0"/>
        <v>Non-Compliant</v>
      </c>
      <c r="G36" t="str">
        <f>IF(VLOOKUP(B36,Master!$I$5:$L$542, 3, 0)&lt;&gt;0, VLOOKUP(B36,Master!$I$5:$L$542, 3, 0), "")</f>
        <v>No</v>
      </c>
    </row>
    <row r="37" spans="1:7">
      <c r="A37" s="223"/>
      <c r="B37" s="51" t="s">
        <v>1070</v>
      </c>
      <c r="C37" s="46" t="s">
        <v>2107</v>
      </c>
      <c r="D37" s="47" t="s">
        <v>2108</v>
      </c>
      <c r="E37" s="48" t="s">
        <v>55</v>
      </c>
      <c r="F37" s="49" t="str">
        <f t="shared" si="0"/>
        <v>Non-Compliant</v>
      </c>
      <c r="G37" t="str">
        <f>IF(VLOOKUP(B37,Master!$I$5:$L$542, 3, 0)&lt;&gt;0, VLOOKUP(B37,Master!$I$5:$L$542, 3, 0), "")</f>
        <v>No</v>
      </c>
    </row>
    <row r="38" spans="1:7" ht="79.2">
      <c r="A38" s="223"/>
      <c r="B38" s="51" t="s">
        <v>1062</v>
      </c>
      <c r="C38" s="46" t="s">
        <v>2109</v>
      </c>
      <c r="D38" s="47" t="s">
        <v>2110</v>
      </c>
      <c r="E38" s="48" t="s">
        <v>181</v>
      </c>
      <c r="F38" s="49" t="str">
        <f t="shared" si="0"/>
        <v>Non-Compliant</v>
      </c>
      <c r="G38" t="str">
        <f>IF(VLOOKUP(B38,Master!$I$5:$L$542, 3, 0)&lt;&gt;0, VLOOKUP(B38,Master!$I$5:$L$542, 3, 0), "")</f>
        <v>No</v>
      </c>
    </row>
    <row r="39" spans="1:7" ht="26.4">
      <c r="A39" s="223"/>
      <c r="B39" s="51" t="s">
        <v>1131</v>
      </c>
      <c r="C39" s="46" t="s">
        <v>2111</v>
      </c>
      <c r="D39" s="47" t="s">
        <v>2112</v>
      </c>
      <c r="E39" s="48" t="s">
        <v>55</v>
      </c>
      <c r="F39" s="49" t="str">
        <f t="shared" si="0"/>
        <v>Non-Compliant</v>
      </c>
      <c r="G39" t="str">
        <f>IF(VLOOKUP(B39,Master!$I$5:$L$542, 3, 0)&lt;&gt;0, VLOOKUP(B39,Master!$I$5:$L$542, 3, 0), "")</f>
        <v>No</v>
      </c>
    </row>
    <row r="40" spans="1:7" ht="26.4">
      <c r="A40" s="223"/>
      <c r="B40" s="51" t="s">
        <v>1101</v>
      </c>
      <c r="C40" s="46" t="s">
        <v>2113</v>
      </c>
      <c r="D40" s="47" t="s">
        <v>2114</v>
      </c>
      <c r="E40" s="48" t="s">
        <v>55</v>
      </c>
      <c r="F40" s="49" t="str">
        <f t="shared" si="0"/>
        <v>Non-Compliant</v>
      </c>
      <c r="G40" t="str">
        <f>IF(VLOOKUP(B40,Master!$I$5:$L$542, 3, 0)&lt;&gt;0, VLOOKUP(B40,Master!$I$5:$L$542, 3, 0), "")</f>
        <v>No</v>
      </c>
    </row>
    <row r="41" spans="1:7" ht="39.6">
      <c r="A41" s="223"/>
      <c r="B41" s="51" t="s">
        <v>1013</v>
      </c>
      <c r="C41" s="46" t="s">
        <v>2115</v>
      </c>
      <c r="D41" s="47" t="s">
        <v>2116</v>
      </c>
      <c r="E41" s="48" t="s">
        <v>27</v>
      </c>
      <c r="F41" s="49" t="str">
        <f t="shared" si="0"/>
        <v>Non-Compliant</v>
      </c>
      <c r="G41" t="str">
        <f>IF(VLOOKUP(B41,Master!$I$5:$L$542, 3, 0)&lt;&gt;0, VLOOKUP(B41,Master!$I$5:$L$542, 3, 0), "")</f>
        <v>No</v>
      </c>
    </row>
    <row r="42" spans="1:7" ht="26.4">
      <c r="A42" s="223"/>
      <c r="B42" s="51" t="s">
        <v>1105</v>
      </c>
      <c r="C42" s="46" t="s">
        <v>2117</v>
      </c>
      <c r="D42" s="47" t="s">
        <v>2118</v>
      </c>
      <c r="E42" s="48" t="s">
        <v>55</v>
      </c>
      <c r="F42" s="49" t="str">
        <f t="shared" si="0"/>
        <v>Non-Compliant</v>
      </c>
      <c r="G42" t="str">
        <f>IF(VLOOKUP(B42,Master!$I$5:$L$542, 3, 0)&lt;&gt;0, VLOOKUP(B42,Master!$I$5:$L$542, 3, 0), "")</f>
        <v>No</v>
      </c>
    </row>
    <row r="43" spans="1:7" ht="39.6">
      <c r="A43" s="223"/>
      <c r="B43" s="51" t="s">
        <v>1109</v>
      </c>
      <c r="C43" s="46" t="s">
        <v>2119</v>
      </c>
      <c r="D43" s="47" t="s">
        <v>2120</v>
      </c>
      <c r="E43" s="48" t="s">
        <v>27</v>
      </c>
      <c r="F43" s="49" t="str">
        <f t="shared" si="0"/>
        <v>Non-Compliant</v>
      </c>
      <c r="G43" t="str">
        <f>IF(VLOOKUP(B43,Master!$I$5:$L$542, 3, 0)&lt;&gt;0, VLOOKUP(B43,Master!$I$5:$L$542, 3, 0), "")</f>
        <v>No</v>
      </c>
    </row>
    <row r="44" spans="1:7" ht="26.4">
      <c r="A44" s="223"/>
      <c r="B44" s="51" t="s">
        <v>1113</v>
      </c>
      <c r="C44" s="46" t="s">
        <v>2121</v>
      </c>
      <c r="D44" s="47" t="s">
        <v>2122</v>
      </c>
      <c r="E44" s="48" t="s">
        <v>181</v>
      </c>
      <c r="F44" s="49" t="str">
        <f t="shared" si="0"/>
        <v>Non-Compliant</v>
      </c>
      <c r="G44" t="str">
        <f>IF(VLOOKUP(B44,Master!$I$5:$L$542, 3, 0)&lt;&gt;0, VLOOKUP(B44,Master!$I$5:$L$542, 3, 0), "")</f>
        <v>No</v>
      </c>
    </row>
    <row r="45" spans="1:7" ht="26.4">
      <c r="A45" s="223"/>
      <c r="B45" s="51" t="s">
        <v>1117</v>
      </c>
      <c r="C45" s="46" t="s">
        <v>2123</v>
      </c>
      <c r="D45" s="47" t="s">
        <v>2124</v>
      </c>
      <c r="E45" s="48" t="s">
        <v>55</v>
      </c>
      <c r="F45" s="49" t="str">
        <f t="shared" si="0"/>
        <v>Non-Compliant</v>
      </c>
      <c r="G45" t="str">
        <f>IF(VLOOKUP(B45,Master!$I$5:$L$542, 3, 0)&lt;&gt;0, VLOOKUP(B45,Master!$I$5:$L$542, 3, 0), "")</f>
        <v>No</v>
      </c>
    </row>
    <row r="46" spans="1:7" ht="26.4">
      <c r="A46" s="223"/>
      <c r="B46" s="51" t="s">
        <v>1050</v>
      </c>
      <c r="C46" s="46" t="s">
        <v>2125</v>
      </c>
      <c r="D46" s="47" t="s">
        <v>2126</v>
      </c>
      <c r="E46" s="48" t="s">
        <v>55</v>
      </c>
      <c r="F46" s="49" t="str">
        <f t="shared" si="0"/>
        <v>Non-Compliant</v>
      </c>
      <c r="G46" t="str">
        <f>IF(VLOOKUP(B46,Master!$I$5:$L$542, 3, 0)&lt;&gt;0, VLOOKUP(B46,Master!$I$5:$L$542, 3, 0), "")</f>
        <v>No</v>
      </c>
    </row>
    <row r="47" spans="1:7" ht="26.4">
      <c r="A47" s="223"/>
      <c r="B47" s="51" t="s">
        <v>1124</v>
      </c>
      <c r="C47" s="46" t="s">
        <v>2127</v>
      </c>
      <c r="D47" s="47" t="s">
        <v>2128</v>
      </c>
      <c r="E47" s="48" t="s">
        <v>55</v>
      </c>
      <c r="F47" s="49" t="str">
        <f t="shared" si="0"/>
        <v>Non-Compliant</v>
      </c>
      <c r="G47" t="str">
        <f>IF(VLOOKUP(B47,Master!$I$5:$L$542, 3, 0)&lt;&gt;0, VLOOKUP(B47,Master!$I$5:$L$542, 3, 0), "")</f>
        <v>No</v>
      </c>
    </row>
    <row r="48" spans="1:7" ht="26.4">
      <c r="A48" s="223"/>
      <c r="B48" s="51" t="s">
        <v>1066</v>
      </c>
      <c r="C48" s="46" t="s">
        <v>2129</v>
      </c>
      <c r="D48" s="47" t="s">
        <v>2130</v>
      </c>
      <c r="E48" s="48" t="s">
        <v>55</v>
      </c>
      <c r="F48" s="49" t="str">
        <f t="shared" si="0"/>
        <v>Non-Compliant</v>
      </c>
      <c r="G48" t="str">
        <f>IF(VLOOKUP(B48,Master!$I$5:$L$542, 3, 0)&lt;&gt;0, VLOOKUP(B48,Master!$I$5:$L$542, 3, 0), "")</f>
        <v>No</v>
      </c>
    </row>
    <row r="49" spans="1:7" ht="26.4">
      <c r="A49" s="223"/>
      <c r="B49" s="51" t="s">
        <v>1074</v>
      </c>
      <c r="C49" s="46" t="s">
        <v>2131</v>
      </c>
      <c r="D49" s="47" t="s">
        <v>2132</v>
      </c>
      <c r="E49" s="48" t="s">
        <v>55</v>
      </c>
      <c r="F49" s="49" t="str">
        <f t="shared" si="0"/>
        <v>Non-Compliant</v>
      </c>
      <c r="G49" t="str">
        <f>IF(VLOOKUP(B49,Master!$I$5:$L$542, 3, 0)&lt;&gt;0, VLOOKUP(B49,Master!$I$5:$L$542, 3, 0), "")</f>
        <v>No</v>
      </c>
    </row>
    <row r="50" spans="1:7" ht="105.6">
      <c r="A50" s="223"/>
      <c r="B50" s="51" t="s">
        <v>1078</v>
      </c>
      <c r="C50" s="46" t="s">
        <v>2133</v>
      </c>
      <c r="D50" s="47" t="s">
        <v>2134</v>
      </c>
      <c r="E50" s="48" t="s">
        <v>55</v>
      </c>
      <c r="F50" s="49" t="str">
        <f t="shared" si="0"/>
        <v>Non-Compliant</v>
      </c>
      <c r="G50" t="str">
        <f>IF(VLOOKUP(B50,Master!$I$5:$L$542, 3, 0)&lt;&gt;0, VLOOKUP(B50,Master!$I$5:$L$542, 3, 0), "")</f>
        <v>No</v>
      </c>
    </row>
    <row r="51" spans="1:7" ht="52.8">
      <c r="A51" s="223"/>
      <c r="B51" s="51" t="s">
        <v>1138</v>
      </c>
      <c r="C51" s="46" t="s">
        <v>2135</v>
      </c>
      <c r="D51" s="47" t="s">
        <v>2136</v>
      </c>
      <c r="E51" s="48" t="s">
        <v>55</v>
      </c>
      <c r="F51" s="49" t="str">
        <f t="shared" si="0"/>
        <v>Non-Compliant</v>
      </c>
      <c r="G51" t="str">
        <f>IF(VLOOKUP(B51,Master!$I$5:$L$542, 3, 0)&lt;&gt;0, VLOOKUP(B51,Master!$I$5:$L$542, 3, 0), "")</f>
        <v>No</v>
      </c>
    </row>
    <row r="52" spans="1:7" ht="26.4">
      <c r="A52" s="223" t="s">
        <v>443</v>
      </c>
      <c r="B52" s="51" t="s">
        <v>480</v>
      </c>
      <c r="C52" s="46" t="s">
        <v>2137</v>
      </c>
      <c r="D52" s="47" t="s">
        <v>2138</v>
      </c>
      <c r="E52" s="48" t="s">
        <v>27</v>
      </c>
      <c r="F52" s="49" t="str">
        <f t="shared" si="0"/>
        <v>Non-Compliant</v>
      </c>
      <c r="G52" t="str">
        <f>IF(VLOOKUP(B52,Master!$I$5:$L$542, 3, 0)&lt;&gt;0, VLOOKUP(B52,Master!$I$5:$L$542, 3, 0), "")</f>
        <v>No</v>
      </c>
    </row>
    <row r="53" spans="1:7">
      <c r="A53" s="223"/>
      <c r="B53" s="51" t="s">
        <v>451</v>
      </c>
      <c r="C53" s="46" t="s">
        <v>2139</v>
      </c>
      <c r="D53" s="47" t="s">
        <v>2140</v>
      </c>
      <c r="E53" s="48" t="s">
        <v>27</v>
      </c>
      <c r="F53" s="49" t="str">
        <f t="shared" si="0"/>
        <v>Fully Compliant</v>
      </c>
      <c r="G53" t="str">
        <f>IF(VLOOKUP(B53,Master!$I$5:$L$542, 3, 0)&lt;&gt;0, VLOOKUP(B53,Master!$I$5:$L$542, 3, 0), "")</f>
        <v>Yes</v>
      </c>
    </row>
    <row r="54" spans="1:7" ht="158.4">
      <c r="A54" s="223"/>
      <c r="B54" s="51" t="s">
        <v>495</v>
      </c>
      <c r="C54" s="46" t="s">
        <v>2141</v>
      </c>
      <c r="D54" s="47" t="s">
        <v>2142</v>
      </c>
      <c r="E54" s="48" t="s">
        <v>27</v>
      </c>
      <c r="F54" s="49" t="str">
        <f t="shared" si="0"/>
        <v>Non-Compliant</v>
      </c>
      <c r="G54" t="str">
        <f>IF(VLOOKUP(B54,Master!$I$5:$L$542, 3, 0)&lt;&gt;0, VLOOKUP(B54,Master!$I$5:$L$542, 3, 0), "")</f>
        <v>No</v>
      </c>
    </row>
    <row r="55" spans="1:7" ht="211.2">
      <c r="A55" s="223"/>
      <c r="B55" s="51" t="s">
        <v>484</v>
      </c>
      <c r="C55" s="46" t="s">
        <v>2143</v>
      </c>
      <c r="D55" s="47" t="s">
        <v>2144</v>
      </c>
      <c r="E55" s="48" t="s">
        <v>55</v>
      </c>
      <c r="F55" s="49" t="str">
        <f t="shared" si="0"/>
        <v>Non-Compliant</v>
      </c>
      <c r="G55" t="str">
        <f>IF(VLOOKUP(B55,Master!$I$5:$L$542, 3, 0)&lt;&gt;0, VLOOKUP(B55,Master!$I$5:$L$542, 3, 0), "")</f>
        <v>No</v>
      </c>
    </row>
    <row r="56" spans="1:7" ht="52.8">
      <c r="A56" s="223"/>
      <c r="B56" s="51" t="s">
        <v>488</v>
      </c>
      <c r="C56" s="46" t="s">
        <v>2145</v>
      </c>
      <c r="D56" s="47" t="s">
        <v>2146</v>
      </c>
      <c r="E56" s="48" t="s">
        <v>55</v>
      </c>
      <c r="F56" s="49" t="str">
        <f t="shared" si="0"/>
        <v>Non-Compliant</v>
      </c>
      <c r="G56" t="str">
        <f>IF(AND(Master!K131 = "Yes", Master!K146 = "Yes", Master!K148 = "Yes"), "Yes", IF(OR(Master!K131 = "Yes", Master!K146 = "Yes", Master!K148 = "Yes"), "Under Development", "No"))</f>
        <v>No</v>
      </c>
    </row>
    <row r="57" spans="1:7" ht="118.8">
      <c r="A57" s="223"/>
      <c r="B57" s="51" t="s">
        <v>492</v>
      </c>
      <c r="C57" s="46" t="s">
        <v>2147</v>
      </c>
      <c r="D57" s="47" t="s">
        <v>2148</v>
      </c>
      <c r="E57" s="48" t="s">
        <v>55</v>
      </c>
      <c r="F57" s="49" t="str">
        <f t="shared" si="0"/>
        <v>Non-Compliant</v>
      </c>
      <c r="G57" t="str">
        <f>IF(AND(Master!K132 = "Yes", Master!K134 = "Yes"), "Yes", IF(OR(Master!K132 = "Yes", Master!K134 = "Yes"), "Under Development", "No"))</f>
        <v>No</v>
      </c>
    </row>
    <row r="58" spans="1:7">
      <c r="A58" s="223"/>
      <c r="B58" s="51" t="s">
        <v>506</v>
      </c>
      <c r="C58" s="46" t="s">
        <v>2149</v>
      </c>
      <c r="D58" s="47" t="s">
        <v>2150</v>
      </c>
      <c r="E58" s="48" t="s">
        <v>55</v>
      </c>
      <c r="F58" s="49" t="str">
        <f t="shared" si="0"/>
        <v>Non-Compliant</v>
      </c>
      <c r="G58" t="str">
        <f>IF(VLOOKUP(B58,Master!$I$5:$L$542, 3, 0)&lt;&gt;0, VLOOKUP(B58,Master!$I$5:$L$542, 3, 0), "")</f>
        <v>No</v>
      </c>
    </row>
    <row r="59" spans="1:7" ht="52.8">
      <c r="A59" s="223"/>
      <c r="B59" s="51" t="s">
        <v>502</v>
      </c>
      <c r="C59" s="46" t="s">
        <v>2151</v>
      </c>
      <c r="D59" s="47" t="s">
        <v>2152</v>
      </c>
      <c r="E59" s="48" t="s">
        <v>55</v>
      </c>
      <c r="F59" s="49" t="str">
        <f t="shared" si="0"/>
        <v>Non-Compliant</v>
      </c>
      <c r="G59" t="str">
        <f>IF(VLOOKUP(B59,Master!$I$5:$L$542, 3, 0)&lt;&gt;0, VLOOKUP(B59,Master!$I$5:$L$542, 3, 0), "")</f>
        <v>No</v>
      </c>
    </row>
    <row r="60" spans="1:7" ht="52.8">
      <c r="A60" s="223"/>
      <c r="B60" s="51" t="s">
        <v>560</v>
      </c>
      <c r="C60" s="46" t="s">
        <v>2153</v>
      </c>
      <c r="D60" s="47" t="s">
        <v>2154</v>
      </c>
      <c r="E60" s="48" t="s">
        <v>55</v>
      </c>
      <c r="F60" s="49" t="str">
        <f t="shared" si="0"/>
        <v>Non-Compliant</v>
      </c>
      <c r="G60" t="str">
        <f>IF(VLOOKUP(B60,Master!$I$5:$L$542, 3, 0)&lt;&gt;0, VLOOKUP(B60,Master!$I$5:$L$542, 3, 0), "")</f>
        <v>No</v>
      </c>
    </row>
    <row r="61" spans="1:7" ht="79.2">
      <c r="A61" s="223"/>
      <c r="B61" s="51" t="s">
        <v>519</v>
      </c>
      <c r="C61" s="46" t="s">
        <v>2147</v>
      </c>
      <c r="D61" s="47" t="s">
        <v>2155</v>
      </c>
      <c r="E61" s="48" t="s">
        <v>55</v>
      </c>
      <c r="F61" s="49" t="str">
        <f t="shared" si="0"/>
        <v>Non-Compliant</v>
      </c>
      <c r="G61" t="str">
        <f>IF(VLOOKUP(B61,Master!$I$5:$L$542, 3, 0)&lt;&gt;0, VLOOKUP(B61,Master!$I$5:$L$542, 3, 0), "")</f>
        <v>No</v>
      </c>
    </row>
    <row r="62" spans="1:7" ht="52.8">
      <c r="A62" s="223"/>
      <c r="B62" s="51" t="s">
        <v>556</v>
      </c>
      <c r="C62" s="46" t="s">
        <v>2156</v>
      </c>
      <c r="D62" s="47" t="s">
        <v>2157</v>
      </c>
      <c r="E62" s="48" t="s">
        <v>55</v>
      </c>
      <c r="F62" s="49" t="str">
        <f t="shared" si="0"/>
        <v>Non-Compliant</v>
      </c>
      <c r="G62" t="str">
        <f>IF(VLOOKUP(B62,Master!$I$5:$L$542, 3, 0)&lt;&gt;0, VLOOKUP(B62,Master!$I$5:$L$542, 3, 0), "")</f>
        <v>No</v>
      </c>
    </row>
    <row r="63" spans="1:7" ht="26.4">
      <c r="A63" s="223"/>
      <c r="B63" s="51" t="s">
        <v>552</v>
      </c>
      <c r="C63" s="46" t="s">
        <v>2158</v>
      </c>
      <c r="D63" s="47" t="s">
        <v>2159</v>
      </c>
      <c r="E63" s="48" t="s">
        <v>181</v>
      </c>
      <c r="F63" s="49" t="str">
        <f t="shared" si="0"/>
        <v>Non-Compliant</v>
      </c>
      <c r="G63" t="str">
        <f>IF(VLOOKUP(B63,Master!$I$5:$L$542, 3, 0)&lt;&gt;0, VLOOKUP(B63,Master!$I$5:$L$542, 3, 0), "")</f>
        <v>No</v>
      </c>
    </row>
    <row r="64" spans="1:7" ht="26.4">
      <c r="A64" s="223"/>
      <c r="B64" s="51" t="s">
        <v>548</v>
      </c>
      <c r="C64" s="46" t="s">
        <v>2160</v>
      </c>
      <c r="D64" s="47" t="s">
        <v>2161</v>
      </c>
      <c r="E64" s="48" t="s">
        <v>181</v>
      </c>
      <c r="F64" s="49" t="str">
        <f t="shared" si="0"/>
        <v>Non-Compliant</v>
      </c>
      <c r="G64" t="str">
        <f>IF(VLOOKUP(B64,Master!$I$5:$L$542, 3, 0)&lt;&gt;0, VLOOKUP(B64,Master!$I$5:$L$542, 3, 0), "")</f>
        <v>No</v>
      </c>
    </row>
    <row r="65" spans="1:7">
      <c r="A65" s="223" t="s">
        <v>866</v>
      </c>
      <c r="B65" s="51" t="s">
        <v>874</v>
      </c>
      <c r="C65" s="46" t="s">
        <v>2162</v>
      </c>
      <c r="D65" s="47" t="s">
        <v>2163</v>
      </c>
      <c r="E65" s="48" t="s">
        <v>27</v>
      </c>
      <c r="F65" s="49" t="str">
        <f t="shared" si="0"/>
        <v>Fully Compliant</v>
      </c>
      <c r="G65" t="str">
        <f>IF(VLOOKUP(B65,Master!$I$5:$L$542, 3, 0)&lt;&gt;0, VLOOKUP(B65,Master!$I$5:$L$542, 3, 0), "")</f>
        <v>Yes</v>
      </c>
    </row>
    <row r="66" spans="1:7" ht="92.4">
      <c r="A66" s="223"/>
      <c r="B66" s="51" t="s">
        <v>886</v>
      </c>
      <c r="C66" s="46" t="s">
        <v>2164</v>
      </c>
      <c r="D66" s="47" t="s">
        <v>2165</v>
      </c>
      <c r="E66" s="48" t="s">
        <v>55</v>
      </c>
      <c r="F66" s="49" t="str">
        <f t="shared" si="0"/>
        <v>Non-Compliant</v>
      </c>
      <c r="G66" t="str">
        <f>IF(AND(Master!K244 = "Yes", Master!K247 = "Yes"), "Yes", IF(OR(Master!K244 = "Yes", Master!K247 = "Yes"), "Under Development", "No"))</f>
        <v>No</v>
      </c>
    </row>
    <row r="67" spans="1:7" ht="26.4">
      <c r="A67" s="223"/>
      <c r="B67" s="51" t="s">
        <v>878</v>
      </c>
      <c r="C67" s="46" t="s">
        <v>2166</v>
      </c>
      <c r="D67" s="47" t="s">
        <v>2167</v>
      </c>
      <c r="E67" s="48" t="s">
        <v>27</v>
      </c>
      <c r="F67" s="49" t="str">
        <f t="shared" si="0"/>
        <v>Non-Compliant</v>
      </c>
      <c r="G67" t="str">
        <f>IF(VLOOKUP(B67,Master!$I$5:$L$542, 3, 0)&lt;&gt;0, VLOOKUP(B67,Master!$I$5:$L$542, 3, 0), "")</f>
        <v>No</v>
      </c>
    </row>
    <row r="68" spans="1:7" ht="118.8">
      <c r="A68" s="223"/>
      <c r="B68" s="51" t="s">
        <v>890</v>
      </c>
      <c r="C68" s="46" t="s">
        <v>2168</v>
      </c>
      <c r="D68" s="47" t="s">
        <v>2169</v>
      </c>
      <c r="E68" s="48" t="s">
        <v>55</v>
      </c>
      <c r="F68" s="49" t="str">
        <f t="shared" si="0"/>
        <v>Non-Compliant</v>
      </c>
      <c r="G68" t="str">
        <f>IF(AND(Master!K245 = "Yes", Master!K248 = "Yes"), "Yes", IF(OR(Master!K245 = "Yes", Master!K248 = "Yes"), "Under Development", "No"))</f>
        <v>No</v>
      </c>
    </row>
    <row r="69" spans="1:7">
      <c r="A69" s="223"/>
      <c r="B69" s="51" t="s">
        <v>882</v>
      </c>
      <c r="C69" s="46" t="s">
        <v>2170</v>
      </c>
      <c r="D69" s="47" t="s">
        <v>2171</v>
      </c>
      <c r="E69" s="48" t="s">
        <v>27</v>
      </c>
      <c r="F69" s="49" t="str">
        <f t="shared" ref="F69:F132" si="1">IF(G69="Yes","Fully Compliant",IF(G69="Under Development","Partially Compliant","Non-Compliant"))</f>
        <v>Partially Compliant</v>
      </c>
      <c r="G69" t="str">
        <f>IF(VLOOKUP(B69,Master!$I$5:$L$542, 3, 0)&lt;&gt;0, VLOOKUP(B69,Master!$I$5:$L$542, 3, 0), "")</f>
        <v>Under Development</v>
      </c>
    </row>
    <row r="70" spans="1:7">
      <c r="A70" s="223"/>
      <c r="B70" s="51" t="s">
        <v>925</v>
      </c>
      <c r="C70" s="46" t="s">
        <v>2172</v>
      </c>
      <c r="D70" s="47" t="s">
        <v>2173</v>
      </c>
      <c r="E70" s="48" t="s">
        <v>55</v>
      </c>
      <c r="F70" s="49" t="str">
        <f t="shared" si="1"/>
        <v>Non-Compliant</v>
      </c>
      <c r="G70" t="str">
        <f>IF(AND(Master!K256 = "Yes", Master!K261 = "Yes"), "Yes", IF(OR(Master!K256 = "Yes", Master!K261 = "Yes"), "Under Development", "No"))</f>
        <v>No</v>
      </c>
    </row>
    <row r="71" spans="1:7" ht="26.4">
      <c r="A71" s="223"/>
      <c r="B71" s="51" t="s">
        <v>929</v>
      </c>
      <c r="C71" s="46" t="s">
        <v>2174</v>
      </c>
      <c r="D71" s="47" t="s">
        <v>2175</v>
      </c>
      <c r="E71" s="48" t="s">
        <v>55</v>
      </c>
      <c r="F71" s="49" t="str">
        <f t="shared" si="1"/>
        <v>Non-Compliant</v>
      </c>
      <c r="G71" t="str">
        <f>IF(VLOOKUP(B71,Master!$I$5:$L$542, 3, 0)&lt;&gt;0, VLOOKUP(B71,Master!$I$5:$L$542, 3, 0), "")</f>
        <v>No</v>
      </c>
    </row>
    <row r="72" spans="1:7">
      <c r="A72" s="223"/>
      <c r="B72" s="51" t="s">
        <v>933</v>
      </c>
      <c r="C72" s="46" t="s">
        <v>2176</v>
      </c>
      <c r="D72" s="47" t="s">
        <v>2177</v>
      </c>
      <c r="E72" s="48" t="s">
        <v>55</v>
      </c>
      <c r="F72" s="49" t="str">
        <f t="shared" si="1"/>
        <v>Non-Compliant</v>
      </c>
      <c r="G72" t="str">
        <f>IF(VLOOKUP(B72,Master!$I$5:$L$542, 3, 0)&lt;&gt;0, VLOOKUP(B72,Master!$I$5:$L$542, 3, 0), "")</f>
        <v>No</v>
      </c>
    </row>
    <row r="73" spans="1:7" ht="39.6">
      <c r="A73" s="223"/>
      <c r="B73" s="51" t="s">
        <v>937</v>
      </c>
      <c r="C73" s="46" t="s">
        <v>2178</v>
      </c>
      <c r="D73" s="47" t="s">
        <v>2179</v>
      </c>
      <c r="E73" s="48" t="s">
        <v>181</v>
      </c>
      <c r="F73" s="49" t="str">
        <f t="shared" si="1"/>
        <v>Non-Compliant</v>
      </c>
      <c r="G73" t="str">
        <f>IF(VLOOKUP(B73,Master!$I$5:$L$542, 3, 0)&lt;&gt;0, VLOOKUP(B73,Master!$I$5:$L$542, 3, 0), "")</f>
        <v>No</v>
      </c>
    </row>
    <row r="74" spans="1:7">
      <c r="A74" s="223"/>
      <c r="B74" s="51" t="s">
        <v>950</v>
      </c>
      <c r="C74" s="46" t="s">
        <v>2180</v>
      </c>
      <c r="D74" s="47" t="s">
        <v>2181</v>
      </c>
      <c r="E74" s="48" t="s">
        <v>55</v>
      </c>
      <c r="F74" s="49" t="str">
        <f>IF(G74="Yes","Fully Compliant",IF(G74="Under Development","Partially Compliant","Non-Compliant"))</f>
        <v>Non-Compliant</v>
      </c>
      <c r="G74" t="str">
        <f>IF(VLOOKUP(B74,Master!$I$5:$L$542, 3, 0)&lt;&gt;0, VLOOKUP(B74,Master!$I$5:$L$542, 3, 0), "")</f>
        <v>No</v>
      </c>
    </row>
    <row r="75" spans="1:7">
      <c r="A75" s="223"/>
      <c r="B75" s="51" t="s">
        <v>967</v>
      </c>
      <c r="C75" s="46" t="s">
        <v>2182</v>
      </c>
      <c r="D75" s="47" t="s">
        <v>2183</v>
      </c>
      <c r="E75" s="48" t="s">
        <v>55</v>
      </c>
      <c r="F75" s="49" t="str">
        <f t="shared" si="1"/>
        <v>Non-Compliant</v>
      </c>
      <c r="G75" t="str">
        <f>IF(VLOOKUP(B75,Master!$I$5:$L$542, 3, 0)&lt;&gt;0, VLOOKUP(B75,Master!$I$5:$L$542, 3, 0), "")</f>
        <v>No</v>
      </c>
    </row>
    <row r="76" spans="1:7" ht="118.8">
      <c r="A76" s="223"/>
      <c r="B76" s="51" t="s">
        <v>974</v>
      </c>
      <c r="C76" s="46" t="s">
        <v>2184</v>
      </c>
      <c r="D76" s="47" t="s">
        <v>2185</v>
      </c>
      <c r="E76" s="48" t="s">
        <v>55</v>
      </c>
      <c r="F76" s="49" t="str">
        <f t="shared" si="1"/>
        <v>Non-Compliant</v>
      </c>
      <c r="G76" t="str">
        <f>IF(VLOOKUP(B76,Master!$I$5:$L$542, 3, 0)&lt;&gt;0, VLOOKUP(B76,Master!$I$5:$L$542, 3, 0), "")</f>
        <v>No</v>
      </c>
    </row>
    <row r="77" spans="1:7" ht="52.8">
      <c r="A77" s="223"/>
      <c r="B77" s="51" t="s">
        <v>993</v>
      </c>
      <c r="C77" s="46" t="s">
        <v>2186</v>
      </c>
      <c r="D77" s="47" t="s">
        <v>2187</v>
      </c>
      <c r="E77" s="48" t="s">
        <v>55</v>
      </c>
      <c r="F77" s="49" t="str">
        <f t="shared" si="1"/>
        <v>Non-Compliant</v>
      </c>
      <c r="G77" t="str">
        <f>IF(VLOOKUP(B77,Master!$I$5:$L$542, 3, 0)&lt;&gt;0, VLOOKUP(B77,Master!$I$5:$L$542, 3, 0), "")</f>
        <v>No</v>
      </c>
    </row>
    <row r="78" spans="1:7" ht="79.2">
      <c r="A78" s="223"/>
      <c r="B78" s="51" t="s">
        <v>914</v>
      </c>
      <c r="C78" s="46" t="s">
        <v>2188</v>
      </c>
      <c r="D78" s="47" t="s">
        <v>2189</v>
      </c>
      <c r="E78" s="48" t="s">
        <v>55</v>
      </c>
      <c r="F78" s="49" t="str">
        <f t="shared" si="1"/>
        <v>Non-Compliant</v>
      </c>
      <c r="G78" t="str">
        <f>IF(VLOOKUP(B78,Master!$I$5:$L$542, 3, 0)&lt;&gt;0, VLOOKUP(B78,Master!$I$5:$L$542, 3, 0), "")</f>
        <v>No</v>
      </c>
    </row>
    <row r="79" spans="1:7">
      <c r="A79" s="221" t="s">
        <v>2190</v>
      </c>
      <c r="B79" s="51" t="s">
        <v>752</v>
      </c>
      <c r="C79" s="46" t="s">
        <v>2191</v>
      </c>
      <c r="D79" s="47" t="s">
        <v>2192</v>
      </c>
      <c r="E79" s="48" t="s">
        <v>27</v>
      </c>
      <c r="F79" s="49" t="str">
        <f t="shared" si="1"/>
        <v>Fully Compliant</v>
      </c>
      <c r="G79" t="str">
        <f>IF(VLOOKUP(B79,Master!$I$5:$L$542, 3, 0)&lt;&gt;0, VLOOKUP(B79,Master!$I$5:$L$542, 3, 0), "")</f>
        <v>Yes</v>
      </c>
    </row>
    <row r="80" spans="1:7" ht="79.2">
      <c r="A80" s="221"/>
      <c r="B80" s="51" t="s">
        <v>756</v>
      </c>
      <c r="C80" s="46" t="s">
        <v>2193</v>
      </c>
      <c r="D80" s="47" t="s">
        <v>2194</v>
      </c>
      <c r="E80" s="48" t="s">
        <v>27</v>
      </c>
      <c r="F80" s="49" t="str">
        <f t="shared" si="1"/>
        <v>Fully Compliant</v>
      </c>
      <c r="G80" t="str">
        <f>IF(VLOOKUP(B80,Master!$I$5:$L$542, 3, 0)&lt;&gt;0, VLOOKUP(B80,Master!$I$5:$L$542, 3, 0), "")</f>
        <v>Yes</v>
      </c>
    </row>
    <row r="81" spans="1:7" ht="26.4">
      <c r="A81" s="221"/>
      <c r="B81" s="51" t="s">
        <v>779</v>
      </c>
      <c r="C81" s="46" t="s">
        <v>2195</v>
      </c>
      <c r="D81" s="47" t="s">
        <v>2196</v>
      </c>
      <c r="E81" s="48" t="s">
        <v>27</v>
      </c>
      <c r="F81" s="49" t="str">
        <f t="shared" si="1"/>
        <v>Non-Compliant</v>
      </c>
      <c r="G81" t="str">
        <f>IF(VLOOKUP(B81,Master!$I$5:$L$542, 3, 0)&lt;&gt;0, VLOOKUP(B81,Master!$I$5:$L$542, 3, 0), "")</f>
        <v>No</v>
      </c>
    </row>
    <row r="82" spans="1:7" ht="26.4">
      <c r="A82" s="221"/>
      <c r="B82" s="51" t="s">
        <v>763</v>
      </c>
      <c r="C82" s="46" t="s">
        <v>2197</v>
      </c>
      <c r="D82" s="47" t="s">
        <v>2198</v>
      </c>
      <c r="E82" s="48" t="s">
        <v>27</v>
      </c>
      <c r="F82" s="49" t="str">
        <f t="shared" si="1"/>
        <v>Non-Compliant</v>
      </c>
      <c r="G82" t="str">
        <f>IF(AND(Master!K209 = "Yes", Master!K210 = "Yes"), "Yes", IF(OR(Master!K209 = "Yes", Master!K210 = "Yes"), "Under Development", "No"))</f>
        <v>No</v>
      </c>
    </row>
    <row r="83" spans="1:7" ht="92.4">
      <c r="A83" s="221"/>
      <c r="B83" s="51" t="s">
        <v>800</v>
      </c>
      <c r="C83" s="46" t="s">
        <v>2199</v>
      </c>
      <c r="D83" s="47" t="s">
        <v>2200</v>
      </c>
      <c r="E83" s="48" t="s">
        <v>27</v>
      </c>
      <c r="F83" s="49" t="str">
        <f t="shared" si="1"/>
        <v>Fully Compliant</v>
      </c>
      <c r="G83" t="str">
        <f>IF(VLOOKUP(B83,Master!$I$5:$L$542, 3, 0)&lt;&gt;0, VLOOKUP(B83,Master!$I$5:$L$542, 3, 0), "")</f>
        <v>Yes</v>
      </c>
    </row>
    <row r="84" spans="1:7" ht="52.8">
      <c r="A84" s="221"/>
      <c r="B84" s="51" t="s">
        <v>786</v>
      </c>
      <c r="C84" s="46" t="s">
        <v>2201</v>
      </c>
      <c r="D84" s="47" t="s">
        <v>2202</v>
      </c>
      <c r="E84" s="48" t="s">
        <v>55</v>
      </c>
      <c r="F84" s="49" t="str">
        <f t="shared" si="1"/>
        <v>Non-Compliant</v>
      </c>
      <c r="G84" t="str">
        <f>IF(VLOOKUP(B84,Master!$I$5:$L$542, 3, 0)&lt;&gt;0, VLOOKUP(B84,Master!$I$5:$L$542, 3, 0), "")</f>
        <v>No</v>
      </c>
    </row>
    <row r="85" spans="1:7" ht="14.4">
      <c r="A85" s="221"/>
      <c r="B85" s="51" t="s">
        <v>804</v>
      </c>
      <c r="C85" s="46" t="s">
        <v>2203</v>
      </c>
      <c r="D85" s="47" t="s">
        <v>2204</v>
      </c>
      <c r="E85" s="48" t="s">
        <v>181</v>
      </c>
      <c r="F85" s="49" t="str">
        <f t="shared" si="1"/>
        <v>Non-Compliant</v>
      </c>
      <c r="G85" t="str">
        <f>IF(VLOOKUP(B85,Master!$I$5:$L$542, 3, 0)&lt;&gt;0, VLOOKUP(B85,Master!$I$5:$L$542, 3, 0), "")</f>
        <v>No</v>
      </c>
    </row>
    <row r="86" spans="1:7" ht="52.8">
      <c r="A86" s="221"/>
      <c r="B86" s="51" t="s">
        <v>808</v>
      </c>
      <c r="C86" s="46" t="s">
        <v>2205</v>
      </c>
      <c r="D86" s="47" t="s">
        <v>2206</v>
      </c>
      <c r="E86" s="48" t="s">
        <v>55</v>
      </c>
      <c r="F86" s="49" t="str">
        <f t="shared" si="1"/>
        <v>Non-Compliant</v>
      </c>
      <c r="G86" t="str">
        <f>IF(AND(Master!K222 = "Yes", Master!K225 = "Yes"), "Yes", IF(OR(Master!K222 = "Yes", Master!K225 = "Yes"), "Under Development", "No"))</f>
        <v>No</v>
      </c>
    </row>
    <row r="87" spans="1:7" ht="26.4">
      <c r="A87" s="221"/>
      <c r="B87" s="51" t="s">
        <v>812</v>
      </c>
      <c r="C87" s="46" t="s">
        <v>2207</v>
      </c>
      <c r="D87" s="47" t="s">
        <v>2208</v>
      </c>
      <c r="E87" s="48" t="s">
        <v>55</v>
      </c>
      <c r="F87" s="49" t="str">
        <f t="shared" si="1"/>
        <v>Non-Compliant</v>
      </c>
      <c r="G87" t="str">
        <f>IF(AND(Master!K223 = "Yes", Master!K226 = "Yes"), "Yes", IF(OR(Master!K223 = "Yes", Master!K226 = "Yes"), "Under Development", "No"))</f>
        <v>No</v>
      </c>
    </row>
    <row r="88" spans="1:7" ht="26.4">
      <c r="A88" s="221"/>
      <c r="B88" s="51" t="s">
        <v>834</v>
      </c>
      <c r="C88" s="46" t="s">
        <v>2209</v>
      </c>
      <c r="D88" s="47" t="s">
        <v>2210</v>
      </c>
      <c r="E88" s="48" t="s">
        <v>181</v>
      </c>
      <c r="F88" s="49" t="str">
        <f t="shared" si="1"/>
        <v>Non-Compliant</v>
      </c>
      <c r="G88" t="str">
        <f>IF(VLOOKUP(B88,Master!$I$5:$L$542, 3, 0)&lt;&gt;0, VLOOKUP(B88,Master!$I$5:$L$542, 3, 0), "")</f>
        <v>No</v>
      </c>
    </row>
    <row r="89" spans="1:7" ht="158.4">
      <c r="A89" s="221"/>
      <c r="B89" s="51" t="s">
        <v>852</v>
      </c>
      <c r="C89" s="46" t="s">
        <v>2211</v>
      </c>
      <c r="D89" s="47" t="s">
        <v>2212</v>
      </c>
      <c r="E89" s="48" t="s">
        <v>181</v>
      </c>
      <c r="F89" s="49" t="str">
        <f t="shared" si="1"/>
        <v>Non-Compliant</v>
      </c>
      <c r="G89" t="str">
        <f>IF(VLOOKUP(B89,Master!$I$5:$L$542, 3, 0)&lt;&gt;0, VLOOKUP(B89,Master!$I$5:$L$542, 3, 0), "")</f>
        <v>No</v>
      </c>
    </row>
    <row r="90" spans="1:7" ht="52.8">
      <c r="A90" s="221"/>
      <c r="B90" s="51" t="s">
        <v>838</v>
      </c>
      <c r="C90" s="46" t="s">
        <v>2213</v>
      </c>
      <c r="D90" s="47" t="s">
        <v>2214</v>
      </c>
      <c r="E90" s="48" t="s">
        <v>55</v>
      </c>
      <c r="F90" s="49" t="str">
        <f t="shared" si="1"/>
        <v>Non-Compliant</v>
      </c>
      <c r="G90" t="str">
        <f>IF(VLOOKUP(B90,Master!$I$5:$L$542, 3, 0)&lt;&gt;0, VLOOKUP(B90,Master!$I$5:$L$542, 3, 0), "")</f>
        <v>No</v>
      </c>
    </row>
    <row r="91" spans="1:7">
      <c r="A91" s="221" t="s">
        <v>2215</v>
      </c>
      <c r="B91" s="51" t="s">
        <v>1439</v>
      </c>
      <c r="C91" s="46" t="s">
        <v>2216</v>
      </c>
      <c r="D91" s="47" t="s">
        <v>2217</v>
      </c>
      <c r="E91" s="48" t="s">
        <v>27</v>
      </c>
      <c r="F91" s="49" t="str">
        <f t="shared" si="1"/>
        <v>Fully Compliant</v>
      </c>
      <c r="G91" t="str">
        <f>IF(VLOOKUP(B91,Master!$I$5:$L$542, 3, 0)&lt;&gt;0, VLOOKUP(B91,Master!$I$5:$L$542, 3, 0), "")</f>
        <v>Yes</v>
      </c>
    </row>
    <row r="92" spans="1:7">
      <c r="A92" s="221"/>
      <c r="B92" s="51" t="s">
        <v>1458</v>
      </c>
      <c r="C92" s="46" t="s">
        <v>2218</v>
      </c>
      <c r="D92" s="47" t="s">
        <v>2219</v>
      </c>
      <c r="E92" s="48" t="s">
        <v>27</v>
      </c>
      <c r="F92" s="49" t="str">
        <f t="shared" si="1"/>
        <v>Partially Compliant</v>
      </c>
      <c r="G92" t="str">
        <f>IF(VLOOKUP(B92,Master!$I$5:$L$542, 3, 0)&lt;&gt;0, VLOOKUP(B92,Master!$I$5:$L$542, 3, 0), "")</f>
        <v>Under Development</v>
      </c>
    </row>
    <row r="93" spans="1:7" ht="132">
      <c r="A93" s="221"/>
      <c r="B93" s="51" t="s">
        <v>1443</v>
      </c>
      <c r="C93" s="46" t="s">
        <v>2220</v>
      </c>
      <c r="D93" s="47" t="s">
        <v>2221</v>
      </c>
      <c r="E93" s="48" t="s">
        <v>27</v>
      </c>
      <c r="F93" s="49" t="str">
        <f t="shared" si="1"/>
        <v>Partially Compliant</v>
      </c>
      <c r="G93" t="str">
        <f>IF(VLOOKUP(B93,Master!$I$5:$L$542, 3, 0)&lt;&gt;0, VLOOKUP(B93,Master!$I$5:$L$542, 3, 0), "")</f>
        <v>Under Development</v>
      </c>
    </row>
    <row r="94" spans="1:7" ht="118.8">
      <c r="A94" s="221"/>
      <c r="B94" s="51" t="s">
        <v>1447</v>
      </c>
      <c r="C94" s="46" t="s">
        <v>2222</v>
      </c>
      <c r="D94" s="47" t="s">
        <v>2223</v>
      </c>
      <c r="E94" s="48" t="s">
        <v>55</v>
      </c>
      <c r="F94" s="49" t="str">
        <f t="shared" si="1"/>
        <v>Partially Compliant</v>
      </c>
      <c r="G94" t="str">
        <f>IF(VLOOKUP(B94,Master!$I$5:$L$542, 3, 0)&lt;&gt;0, VLOOKUP(B94,Master!$I$5:$L$542, 3, 0), "")</f>
        <v>Under Development</v>
      </c>
    </row>
    <row r="95" spans="1:7" ht="26.4">
      <c r="A95" s="221"/>
      <c r="B95" s="51" t="s">
        <v>1451</v>
      </c>
      <c r="C95" s="46" t="s">
        <v>2224</v>
      </c>
      <c r="D95" s="47" t="s">
        <v>2225</v>
      </c>
      <c r="E95" s="48" t="s">
        <v>55</v>
      </c>
      <c r="F95" s="49" t="str">
        <f t="shared" si="1"/>
        <v>Non-Compliant</v>
      </c>
      <c r="G95" t="str">
        <f>IF(VLOOKUP(B95,Master!$I$5:$L$542, 3, 0)&lt;&gt;0, VLOOKUP(B95,Master!$I$5:$L$542, 3, 0), "")</f>
        <v>No</v>
      </c>
    </row>
    <row r="96" spans="1:7">
      <c r="A96" s="221"/>
      <c r="B96" s="51" t="s">
        <v>1492</v>
      </c>
      <c r="C96" s="46" t="s">
        <v>2226</v>
      </c>
      <c r="D96" s="47" t="s">
        <v>2227</v>
      </c>
      <c r="E96" s="48" t="s">
        <v>55</v>
      </c>
      <c r="F96" s="49" t="str">
        <f t="shared" si="1"/>
        <v>Non-Compliant</v>
      </c>
      <c r="G96" t="str">
        <f>IF(VLOOKUP(B96,Master!$I$5:$L$542, 3, 0)&lt;&gt;0, VLOOKUP(B96,Master!$I$5:$L$542, 3, 0), "")</f>
        <v>No</v>
      </c>
    </row>
    <row r="97" spans="1:7" ht="26.4">
      <c r="A97" s="221"/>
      <c r="B97" s="51" t="s">
        <v>1496</v>
      </c>
      <c r="C97" s="46" t="s">
        <v>2228</v>
      </c>
      <c r="D97" s="47" t="s">
        <v>2229</v>
      </c>
      <c r="E97" s="48" t="s">
        <v>55</v>
      </c>
      <c r="F97" s="49" t="str">
        <f t="shared" si="1"/>
        <v>Non-Compliant</v>
      </c>
      <c r="G97" t="str">
        <f>IF(VLOOKUP(B97,Master!$I$5:$L$542, 3, 0)&lt;&gt;0, VLOOKUP(B97,Master!$I$5:$L$542, 3, 0), "")</f>
        <v>No</v>
      </c>
    </row>
    <row r="98" spans="1:7" ht="26.4">
      <c r="A98" s="221"/>
      <c r="B98" s="51" t="s">
        <v>1500</v>
      </c>
      <c r="C98" s="46" t="s">
        <v>2230</v>
      </c>
      <c r="D98" s="47" t="s">
        <v>2231</v>
      </c>
      <c r="E98" s="48" t="s">
        <v>55</v>
      </c>
      <c r="F98" s="49" t="str">
        <f t="shared" si="1"/>
        <v>Non-Compliant</v>
      </c>
      <c r="G98" t="str">
        <f>IF(VLOOKUP(B98,Master!$I$5:$L$542, 3, 0)&lt;&gt;0, VLOOKUP(B98,Master!$I$5:$L$542, 3, 0), "")</f>
        <v>No</v>
      </c>
    </row>
    <row r="99" spans="1:7">
      <c r="A99" s="221"/>
      <c r="B99" s="51" t="s">
        <v>1514</v>
      </c>
      <c r="C99" s="46" t="s">
        <v>2232</v>
      </c>
      <c r="D99" s="47" t="s">
        <v>2233</v>
      </c>
      <c r="E99" s="48" t="s">
        <v>55</v>
      </c>
      <c r="F99" s="49" t="str">
        <f t="shared" si="1"/>
        <v>Non-Compliant</v>
      </c>
      <c r="G99" t="str">
        <f>IF(VLOOKUP(B99,Master!$I$5:$L$542, 3, 0)&lt;&gt;0, VLOOKUP(B99,Master!$I$5:$L$542, 3, 0), "")</f>
        <v>No</v>
      </c>
    </row>
    <row r="100" spans="1:7" ht="52.8">
      <c r="A100" s="221"/>
      <c r="B100" s="51" t="s">
        <v>1474</v>
      </c>
      <c r="C100" s="46" t="s">
        <v>2234</v>
      </c>
      <c r="D100" s="47" t="s">
        <v>2235</v>
      </c>
      <c r="E100" s="48" t="s">
        <v>55</v>
      </c>
      <c r="F100" s="49" t="str">
        <f t="shared" si="1"/>
        <v>Non-Compliant</v>
      </c>
      <c r="G100" t="str">
        <f>IF(VLOOKUP(B100,Master!$I$5:$L$542, 3, 0)&lt;&gt;0, VLOOKUP(B100,Master!$I$5:$L$542, 3, 0), "")</f>
        <v>No</v>
      </c>
    </row>
    <row r="101" spans="1:7" ht="52.8">
      <c r="A101" s="221"/>
      <c r="B101" s="51" t="s">
        <v>1481</v>
      </c>
      <c r="C101" s="46" t="s">
        <v>2236</v>
      </c>
      <c r="D101" s="47" t="s">
        <v>2237</v>
      </c>
      <c r="E101" s="48" t="s">
        <v>55</v>
      </c>
      <c r="F101" s="49" t="str">
        <f t="shared" si="1"/>
        <v>Non-Compliant</v>
      </c>
      <c r="G101" t="str">
        <f>IF(VLOOKUP(B101,Master!$I$5:$L$542, 3, 0)&lt;&gt;0, VLOOKUP(B101,Master!$I$5:$L$542, 3, 0), "")</f>
        <v>No</v>
      </c>
    </row>
    <row r="102" spans="1:7" ht="26.4">
      <c r="A102" s="221"/>
      <c r="B102" s="51" t="s">
        <v>1467</v>
      </c>
      <c r="C102" s="46" t="s">
        <v>2238</v>
      </c>
      <c r="D102" s="47" t="s">
        <v>2239</v>
      </c>
      <c r="E102" s="48" t="s">
        <v>55</v>
      </c>
      <c r="F102" s="49" t="str">
        <f t="shared" si="1"/>
        <v>Non-Compliant</v>
      </c>
      <c r="G102" t="str">
        <f>IF(VLOOKUP(B102,Master!$I$5:$L$542, 3, 0)&lt;&gt;0, VLOOKUP(B102,Master!$I$5:$L$542, 3, 0), "")</f>
        <v>No</v>
      </c>
    </row>
    <row r="103" spans="1:7" ht="26.4">
      <c r="A103" s="221"/>
      <c r="B103" s="51" t="s">
        <v>1504</v>
      </c>
      <c r="C103" s="46" t="s">
        <v>2240</v>
      </c>
      <c r="D103" s="47" t="s">
        <v>2241</v>
      </c>
      <c r="E103" s="48" t="s">
        <v>55</v>
      </c>
      <c r="F103" s="49" t="str">
        <f t="shared" si="1"/>
        <v>Non-Compliant</v>
      </c>
      <c r="G103" t="str">
        <f>IF(VLOOKUP(B103,Master!$I$5:$L$542, 3, 0)&lt;&gt;0, VLOOKUP(B103,Master!$I$5:$L$542, 3, 0), "")</f>
        <v>No</v>
      </c>
    </row>
    <row r="104" spans="1:7" ht="79.2">
      <c r="A104" s="221" t="s">
        <v>280</v>
      </c>
      <c r="B104" s="51" t="s">
        <v>288</v>
      </c>
      <c r="C104" s="46" t="s">
        <v>2242</v>
      </c>
      <c r="D104" s="47" t="s">
        <v>2243</v>
      </c>
      <c r="E104" s="48" t="s">
        <v>27</v>
      </c>
      <c r="F104" s="49" t="str">
        <f t="shared" si="1"/>
        <v>Partially Compliant</v>
      </c>
      <c r="G104" t="str">
        <f>IF(VLOOKUP(B104,Master!$I$5:$L$542, 3, 0)&lt;&gt;0, VLOOKUP(B104,Master!$I$5:$L$542, 3, 0), "")</f>
        <v>Under Development</v>
      </c>
    </row>
    <row r="105" spans="1:7" ht="92.4">
      <c r="A105" s="221"/>
      <c r="B105" s="51" t="s">
        <v>295</v>
      </c>
      <c r="C105" s="46" t="s">
        <v>2244</v>
      </c>
      <c r="D105" s="47" t="s">
        <v>2245</v>
      </c>
      <c r="E105" s="48" t="s">
        <v>27</v>
      </c>
      <c r="F105" s="49" t="str">
        <f t="shared" si="1"/>
        <v>Non-Compliant</v>
      </c>
      <c r="G105" t="str">
        <f>IF(VLOOKUP(B105,Master!$I$5:$L$542, 3, 0)&lt;&gt;0, VLOOKUP(B105,Master!$I$5:$L$542, 3, 0), "")</f>
        <v>No</v>
      </c>
    </row>
    <row r="106" spans="1:7">
      <c r="A106" s="221"/>
      <c r="B106" s="51" t="s">
        <v>299</v>
      </c>
      <c r="C106" s="46" t="s">
        <v>2246</v>
      </c>
      <c r="D106" s="47" t="s">
        <v>2247</v>
      </c>
      <c r="E106" s="48" t="s">
        <v>27</v>
      </c>
      <c r="F106" s="49" t="str">
        <f t="shared" si="1"/>
        <v>Partially Compliant</v>
      </c>
      <c r="G106" t="str">
        <f>IF(VLOOKUP(B106,Master!$I$5:$L$542, 3, 0)&lt;&gt;0, VLOOKUP(B106,Master!$I$5:$L$542, 3, 0), "")</f>
        <v>Under Development</v>
      </c>
    </row>
    <row r="107" spans="1:7" ht="79.2">
      <c r="A107" s="221"/>
      <c r="B107" s="51" t="s">
        <v>312</v>
      </c>
      <c r="C107" s="46" t="s">
        <v>2248</v>
      </c>
      <c r="D107" s="47" t="s">
        <v>2249</v>
      </c>
      <c r="E107" s="48" t="s">
        <v>55</v>
      </c>
      <c r="F107" s="49" t="str">
        <f>IF(G107="Yes","Fully Compliant",IF(G107="Under Development","Partially Compliant","Non-Compliant"))</f>
        <v>Non-Compliant</v>
      </c>
      <c r="G107" t="str">
        <f>IF(VLOOKUP(B107,Master!$I$5:$L$542, 3, 0)&lt;&gt;0, VLOOKUP(B107,Master!$I$5:$L$542, 3, 0), "")</f>
        <v>No</v>
      </c>
    </row>
    <row r="108" spans="1:7" ht="118.8">
      <c r="A108" s="221"/>
      <c r="B108" s="51" t="s">
        <v>384</v>
      </c>
      <c r="C108" s="46" t="s">
        <v>2250</v>
      </c>
      <c r="D108" s="47" t="s">
        <v>2251</v>
      </c>
      <c r="E108" s="48" t="s">
        <v>27</v>
      </c>
      <c r="F108" s="49" t="str">
        <f t="shared" si="1"/>
        <v>Fully Compliant</v>
      </c>
      <c r="G108" t="str">
        <f>IF(VLOOKUP(B108,Master!$I$5:$L$542, 3, 0)&lt;&gt;0, VLOOKUP(B108,Master!$I$5:$L$542, 3, 0), "")</f>
        <v>Yes</v>
      </c>
    </row>
    <row r="109" spans="1:7" ht="118.8">
      <c r="A109" s="221"/>
      <c r="B109" s="51" t="s">
        <v>388</v>
      </c>
      <c r="C109" s="46" t="s">
        <v>2252</v>
      </c>
      <c r="D109" s="47" t="s">
        <v>2253</v>
      </c>
      <c r="E109" s="48" t="s">
        <v>27</v>
      </c>
      <c r="F109" s="49" t="str">
        <f t="shared" si="1"/>
        <v>Non-Compliant</v>
      </c>
      <c r="G109" t="str">
        <f>IF(VLOOKUP(B109,Master!$I$5:$L$542, 3, 0)&lt;&gt;0, VLOOKUP(B109,Master!$I$5:$L$542, 3, 0), "")</f>
        <v>No</v>
      </c>
    </row>
    <row r="110" spans="1:7" ht="105.6">
      <c r="A110" s="221"/>
      <c r="B110" s="51" t="s">
        <v>395</v>
      </c>
      <c r="C110" s="46" t="s">
        <v>2254</v>
      </c>
      <c r="D110" s="47" t="s">
        <v>2255</v>
      </c>
      <c r="E110" s="48" t="s">
        <v>55</v>
      </c>
      <c r="F110" s="49" t="str">
        <f t="shared" si="1"/>
        <v>Non-Compliant</v>
      </c>
      <c r="G110" t="str">
        <f>IF(VLOOKUP(B110,Master!$I$5:$L$542, 3, 0)&lt;&gt;0, VLOOKUP(B110,Master!$I$5:$L$542, 3, 0), "")</f>
        <v>No</v>
      </c>
    </row>
    <row r="111" spans="1:7" ht="39.6">
      <c r="A111" s="221"/>
      <c r="B111" s="51" t="s">
        <v>403</v>
      </c>
      <c r="C111" s="46" t="s">
        <v>2256</v>
      </c>
      <c r="D111" s="47" t="s">
        <v>2257</v>
      </c>
      <c r="E111" s="48" t="s">
        <v>181</v>
      </c>
      <c r="F111" s="49" t="str">
        <f t="shared" si="1"/>
        <v>Non-Compliant</v>
      </c>
      <c r="G111" t="str">
        <f>IF(VLOOKUP(B111,Master!$I$5:$L$542, 3, 0)&lt;&gt;0, VLOOKUP(B111,Master!$I$5:$L$542, 3, 0), "")</f>
        <v>No</v>
      </c>
    </row>
    <row r="112" spans="1:7" ht="145.19999999999999">
      <c r="A112" s="221"/>
      <c r="B112" s="51" t="s">
        <v>417</v>
      </c>
      <c r="C112" s="46" t="s">
        <v>2258</v>
      </c>
      <c r="D112" s="47" t="s">
        <v>2259</v>
      </c>
      <c r="E112" s="48" t="s">
        <v>55</v>
      </c>
      <c r="F112" s="49" t="str">
        <f t="shared" si="1"/>
        <v>Non-Compliant</v>
      </c>
      <c r="G112" t="str">
        <f>IF(AND(Master!K110 = "Yes", Master!K115 = "Yes"), "Yes", IF(OR(Master!K110 = "Yes", Master!K115 = "Yes"), "Under Development", "No"))</f>
        <v>No</v>
      </c>
    </row>
    <row r="113" spans="1:8" ht="118.8">
      <c r="A113" s="221"/>
      <c r="B113" s="51" t="s">
        <v>421</v>
      </c>
      <c r="C113" s="46" t="s">
        <v>2260</v>
      </c>
      <c r="D113" s="47" t="s">
        <v>2261</v>
      </c>
      <c r="E113" s="48" t="s">
        <v>55</v>
      </c>
      <c r="F113" s="49" t="str">
        <f t="shared" si="1"/>
        <v>Non-Compliant</v>
      </c>
      <c r="G113" t="str">
        <f>IF(AND(Master!K111 = "Yes", Master!K116 = "Yes"), "Yes", IF(OR(Master!K111 = "Yes", Master!K116 = "Yes"), "Under Development", "No"))</f>
        <v>No</v>
      </c>
    </row>
    <row r="114" spans="1:8" ht="145.19999999999999">
      <c r="A114" s="221"/>
      <c r="B114" s="51" t="s">
        <v>329</v>
      </c>
      <c r="C114" s="46" t="s">
        <v>2262</v>
      </c>
      <c r="D114" s="47" t="s">
        <v>2263</v>
      </c>
      <c r="E114" s="48" t="s">
        <v>27</v>
      </c>
      <c r="F114" s="49" t="str">
        <f t="shared" si="1"/>
        <v>Non-Compliant</v>
      </c>
      <c r="G114" t="str">
        <f>IF(AND(Master!K85 = "Yes", Master!K89 = "Yes"), "Yes", IF(OR(Master!K85 = "Yes", Master!K89 = "Yes"), "Under Development", "No"))</f>
        <v>No</v>
      </c>
    </row>
    <row r="115" spans="1:8" ht="26.4">
      <c r="A115" s="221"/>
      <c r="B115" s="51" t="s">
        <v>353</v>
      </c>
      <c r="C115" s="46" t="s">
        <v>2264</v>
      </c>
      <c r="D115" s="47" t="s">
        <v>2265</v>
      </c>
      <c r="E115" s="48" t="s">
        <v>27</v>
      </c>
      <c r="F115" s="49" t="str">
        <f t="shared" si="1"/>
        <v>Partially Compliant</v>
      </c>
      <c r="G115" t="str">
        <f>IF(VLOOKUP(B115,Master!$I$5:$L$542, 3, 0)&lt;&gt;0, VLOOKUP(B115,Master!$I$5:$L$542, 3, 0), "")</f>
        <v>Under Development</v>
      </c>
    </row>
    <row r="116" spans="1:8" ht="26.4">
      <c r="A116" s="221"/>
      <c r="B116" s="51" t="s">
        <v>336</v>
      </c>
      <c r="C116" s="46" t="s">
        <v>2266</v>
      </c>
      <c r="D116" s="47" t="s">
        <v>2267</v>
      </c>
      <c r="E116" s="48" t="s">
        <v>55</v>
      </c>
      <c r="F116" s="49" t="str">
        <f t="shared" si="1"/>
        <v>Non-Compliant</v>
      </c>
      <c r="G116" t="str">
        <f>IF(AND(Master!K87 = "Yes", Master!K94 = "Yes"), "Yes", IF(OR(Master!K87 = "Yes", Master!K94 = "Yes"), "Under Development", "No"))</f>
        <v>No</v>
      </c>
      <c r="H116" s="50"/>
    </row>
    <row r="117" spans="1:8" ht="118.8">
      <c r="A117" s="221"/>
      <c r="B117" s="51" t="s">
        <v>340</v>
      </c>
      <c r="C117" s="46" t="s">
        <v>2268</v>
      </c>
      <c r="D117" s="47" t="s">
        <v>2269</v>
      </c>
      <c r="E117" s="48" t="s">
        <v>27</v>
      </c>
      <c r="F117" s="49" t="str">
        <f t="shared" si="1"/>
        <v>Non-Compliant</v>
      </c>
      <c r="G117" t="str">
        <f>IF(AND(Master!K88 = "Yes", Master!K95 = "Yes"), "Yes", IF(OR(Master!K88 = "Yes", Master!K95 = "Yes"), "Under Development", "No"))</f>
        <v>No</v>
      </c>
    </row>
    <row r="118" spans="1:8" ht="26.4">
      <c r="A118" s="221"/>
      <c r="B118" s="51" t="s">
        <v>366</v>
      </c>
      <c r="C118" s="46" t="s">
        <v>2270</v>
      </c>
      <c r="D118" s="47" t="s">
        <v>2271</v>
      </c>
      <c r="E118" s="48" t="s">
        <v>55</v>
      </c>
      <c r="F118" s="49" t="str">
        <f t="shared" si="1"/>
        <v>Non-Compliant</v>
      </c>
      <c r="G118" t="str">
        <f>IF(VLOOKUP(B118,Master!$I$5:$L$542, 3, 0)&lt;&gt;0, VLOOKUP(B118,Master!$I$5:$L$542, 3, 0), "")</f>
        <v>No</v>
      </c>
    </row>
    <row r="119" spans="1:8" ht="118.8">
      <c r="A119" s="221"/>
      <c r="B119" s="51" t="s">
        <v>370</v>
      </c>
      <c r="C119" s="46" t="s">
        <v>2272</v>
      </c>
      <c r="D119" s="47" t="s">
        <v>2273</v>
      </c>
      <c r="E119" s="48" t="s">
        <v>55</v>
      </c>
      <c r="F119" s="49" t="str">
        <f t="shared" si="1"/>
        <v>Non-Compliant</v>
      </c>
      <c r="G119" t="str">
        <f>IF(AND(Master!K97 = "Yes", Master!K105 = "Yes"), "Yes", IF(OR(Master!K97 = "Yes", Master!K105 = "Yes"), "Under Development", "No"))</f>
        <v>No</v>
      </c>
    </row>
    <row r="120" spans="1:8">
      <c r="A120" s="221" t="s">
        <v>2274</v>
      </c>
      <c r="B120" s="51" t="s">
        <v>1151</v>
      </c>
      <c r="C120" s="46" t="s">
        <v>2275</v>
      </c>
      <c r="D120" s="47" t="s">
        <v>2276</v>
      </c>
      <c r="E120" s="48" t="s">
        <v>27</v>
      </c>
      <c r="F120" s="49" t="str">
        <f t="shared" si="1"/>
        <v>Fully Compliant</v>
      </c>
      <c r="G120" t="str">
        <f>IF(VLOOKUP(B120,Master!$I$5:$L$542, 3, 0)&lt;&gt;0, VLOOKUP(B120,Master!$I$5:$L$542, 3, 0), "")</f>
        <v>Yes</v>
      </c>
    </row>
    <row r="121" spans="1:8">
      <c r="A121" s="221"/>
      <c r="B121" s="51" t="s">
        <v>1184</v>
      </c>
      <c r="C121" s="46" t="s">
        <v>2277</v>
      </c>
      <c r="D121" s="47" t="s">
        <v>2278</v>
      </c>
      <c r="E121" s="48" t="s">
        <v>27</v>
      </c>
      <c r="F121" s="49" t="str">
        <f t="shared" si="1"/>
        <v>Non-Compliant</v>
      </c>
      <c r="G121" t="str">
        <f>IF(VLOOKUP(B121,Master!$I$5:$L$542, 3, 0)&lt;&gt;0, VLOOKUP(B121,Master!$I$5:$L$542, 3, 0), "")</f>
        <v>No</v>
      </c>
    </row>
    <row r="122" spans="1:8" ht="52.8">
      <c r="A122" s="221"/>
      <c r="B122" s="51" t="s">
        <v>1188</v>
      </c>
      <c r="C122" s="46" t="s">
        <v>2279</v>
      </c>
      <c r="D122" s="47" t="s">
        <v>2280</v>
      </c>
      <c r="E122" s="48" t="s">
        <v>27</v>
      </c>
      <c r="F122" s="49" t="str">
        <f t="shared" si="1"/>
        <v>Non-Compliant</v>
      </c>
      <c r="G122" t="str">
        <f>IF(VLOOKUP(B122,Master!$I$5:$L$542, 3, 0)&lt;&gt;0, VLOOKUP(B122,Master!$I$5:$L$542, 3, 0), "")</f>
        <v>No</v>
      </c>
    </row>
    <row r="123" spans="1:8" ht="52.8">
      <c r="A123" s="221"/>
      <c r="B123" s="51" t="s">
        <v>1192</v>
      </c>
      <c r="C123" s="46" t="s">
        <v>2281</v>
      </c>
      <c r="D123" s="47" t="s">
        <v>2282</v>
      </c>
      <c r="E123" s="48" t="s">
        <v>27</v>
      </c>
      <c r="F123" s="49" t="str">
        <f t="shared" si="1"/>
        <v>Non-Compliant</v>
      </c>
      <c r="G123" t="str">
        <f>IF(VLOOKUP(B123,Master!$I$5:$L$542, 3, 0)&lt;&gt;0, VLOOKUP(B123,Master!$I$5:$L$542, 3, 0), "")</f>
        <v>No</v>
      </c>
    </row>
    <row r="124" spans="1:8" ht="92.4">
      <c r="A124" s="221"/>
      <c r="B124" s="51" t="s">
        <v>1196</v>
      </c>
      <c r="C124" s="46" t="s">
        <v>2283</v>
      </c>
      <c r="D124" s="47" t="s">
        <v>2284</v>
      </c>
      <c r="E124" s="48" t="s">
        <v>27</v>
      </c>
      <c r="F124" s="49" t="str">
        <f t="shared" si="1"/>
        <v>Non-Compliant</v>
      </c>
      <c r="G124" t="str">
        <f>IF(VLOOKUP(B124,Master!$I$5:$L$542, 3, 0)&lt;&gt;0, VLOOKUP(B124,Master!$I$5:$L$542, 3, 0), "")</f>
        <v>No</v>
      </c>
    </row>
    <row r="125" spans="1:8" ht="171.6">
      <c r="A125" s="221"/>
      <c r="B125" s="51" t="s">
        <v>1222</v>
      </c>
      <c r="C125" s="46" t="s">
        <v>2285</v>
      </c>
      <c r="D125" s="47" t="s">
        <v>2286</v>
      </c>
      <c r="E125" s="48" t="s">
        <v>27</v>
      </c>
      <c r="F125" s="49" t="str">
        <f t="shared" si="1"/>
        <v>Non-Compliant</v>
      </c>
      <c r="G125" t="str">
        <f>IF(VLOOKUP(B125,Master!$I$5:$L$542, 3, 0)&lt;&gt;0, VLOOKUP(B125,Master!$I$5:$L$542, 3, 0), "")</f>
        <v>No</v>
      </c>
    </row>
    <row r="126" spans="1:8" ht="79.2">
      <c r="A126" s="221"/>
      <c r="B126" s="51" t="s">
        <v>1226</v>
      </c>
      <c r="C126" s="46" t="s">
        <v>2287</v>
      </c>
      <c r="D126" s="47" t="s">
        <v>2288</v>
      </c>
      <c r="E126" s="48" t="s">
        <v>27</v>
      </c>
      <c r="F126" s="49" t="str">
        <f t="shared" si="1"/>
        <v>Non-Compliant</v>
      </c>
      <c r="G126" t="str">
        <f>IF(VLOOKUP(B126,Master!$I$5:$L$542, 3, 0)&lt;&gt;0, VLOOKUP(B126,Master!$I$5:$L$542, 3, 0), "")</f>
        <v>No</v>
      </c>
    </row>
    <row r="127" spans="1:8" ht="132">
      <c r="A127" s="221"/>
      <c r="B127" s="51" t="s">
        <v>1230</v>
      </c>
      <c r="C127" s="46" t="s">
        <v>2289</v>
      </c>
      <c r="D127" s="47" t="s">
        <v>2290</v>
      </c>
      <c r="E127" s="48" t="s">
        <v>55</v>
      </c>
      <c r="F127" s="49" t="str">
        <f t="shared" si="1"/>
        <v>Non-Compliant</v>
      </c>
      <c r="G127" t="str">
        <f>IF(VLOOKUP(B127,Master!$I$5:$L$542, 3, 0)&lt;&gt;0, VLOOKUP(B127,Master!$I$5:$L$542, 3, 0), "")</f>
        <v>No</v>
      </c>
    </row>
    <row r="128" spans="1:8" ht="290.39999999999998">
      <c r="A128" s="221"/>
      <c r="B128" s="51" t="s">
        <v>1234</v>
      </c>
      <c r="C128" s="46" t="s">
        <v>2291</v>
      </c>
      <c r="D128" s="47" t="s">
        <v>2292</v>
      </c>
      <c r="E128" s="48" t="s">
        <v>55</v>
      </c>
      <c r="F128" s="49" t="str">
        <f t="shared" si="1"/>
        <v>Non-Compliant</v>
      </c>
      <c r="G128" t="str">
        <f>IF(VLOOKUP(B128,Master!$I$5:$L$542, 3, 0)&lt;&gt;0, VLOOKUP(B128,Master!$I$5:$L$542, 3, 0), "")</f>
        <v>No</v>
      </c>
    </row>
    <row r="129" spans="1:7" ht="79.2">
      <c r="A129" s="221"/>
      <c r="B129" s="51" t="s">
        <v>1158</v>
      </c>
      <c r="C129" s="46" t="s">
        <v>2293</v>
      </c>
      <c r="D129" s="47" t="s">
        <v>2294</v>
      </c>
      <c r="E129" s="48" t="s">
        <v>55</v>
      </c>
      <c r="F129" s="49" t="str">
        <f t="shared" si="1"/>
        <v>Non-Compliant</v>
      </c>
      <c r="G129" t="str">
        <f>IF(VLOOKUP(B129,Master!$I$5:$L$542, 3, 0)&lt;&gt;0, VLOOKUP(B129,Master!$I$5:$L$542, 3, 0), "")</f>
        <v>No</v>
      </c>
    </row>
    <row r="130" spans="1:7" ht="26.4">
      <c r="A130" s="221"/>
      <c r="B130" s="51" t="s">
        <v>1162</v>
      </c>
      <c r="C130" s="46" t="s">
        <v>2295</v>
      </c>
      <c r="D130" s="47" t="s">
        <v>2296</v>
      </c>
      <c r="E130" s="48" t="s">
        <v>27</v>
      </c>
      <c r="F130" s="49" t="str">
        <f t="shared" si="1"/>
        <v>Non-Compliant</v>
      </c>
      <c r="G130" t="str">
        <f>IF(VLOOKUP(B130,Master!$I$5:$L$542, 3, 0)&lt;&gt;0, VLOOKUP(B130,Master!$I$5:$L$542, 3, 0), "")</f>
        <v>No</v>
      </c>
    </row>
    <row r="131" spans="1:7">
      <c r="A131" s="221"/>
      <c r="B131" s="51" t="s">
        <v>1204</v>
      </c>
      <c r="C131" s="46" t="s">
        <v>2297</v>
      </c>
      <c r="D131" s="47" t="s">
        <v>2298</v>
      </c>
      <c r="E131" s="48" t="s">
        <v>55</v>
      </c>
      <c r="F131" s="49" t="str">
        <f t="shared" si="1"/>
        <v>Non-Compliant</v>
      </c>
      <c r="G131" t="str">
        <f>IF(VLOOKUP(B131,Master!$I$5:$L$542, 3, 0)&lt;&gt;0, VLOOKUP(B131,Master!$I$5:$L$542, 3, 0), "")</f>
        <v>No</v>
      </c>
    </row>
    <row r="132" spans="1:7" ht="105.6">
      <c r="A132" s="221"/>
      <c r="B132" s="51" t="s">
        <v>1238</v>
      </c>
      <c r="C132" s="46" t="s">
        <v>2299</v>
      </c>
      <c r="D132" s="47" t="s">
        <v>2300</v>
      </c>
      <c r="E132" s="48" t="s">
        <v>55</v>
      </c>
      <c r="F132" s="49" t="str">
        <f t="shared" si="1"/>
        <v>Non-Compliant</v>
      </c>
      <c r="G132" t="str">
        <f>IF(VLOOKUP(B132,Master!$I$5:$L$542, 3, 0)&lt;&gt;0, VLOOKUP(B132,Master!$I$5:$L$542, 3, 0), "")</f>
        <v>No</v>
      </c>
    </row>
    <row r="133" spans="1:7" ht="26.4">
      <c r="A133" s="221"/>
      <c r="B133" s="51" t="s">
        <v>1242</v>
      </c>
      <c r="C133" s="46" t="s">
        <v>2301</v>
      </c>
      <c r="D133" s="47" t="s">
        <v>2302</v>
      </c>
      <c r="E133" s="48" t="s">
        <v>55</v>
      </c>
      <c r="F133" s="49" t="str">
        <f t="shared" ref="F133:F194" si="2">IF(G133="Yes","Fully Compliant",IF(G133="Under Development","Partially Compliant","Non-Compliant"))</f>
        <v>Non-Compliant</v>
      </c>
      <c r="G133" t="str">
        <f>IF(VLOOKUP(B133,Master!$I$5:$L$542, 3, 0)&lt;&gt;0, VLOOKUP(B133,Master!$I$5:$L$542, 3, 0), "")</f>
        <v>No</v>
      </c>
    </row>
    <row r="134" spans="1:7" ht="26.4">
      <c r="A134" s="221"/>
      <c r="B134" s="51" t="s">
        <v>1200</v>
      </c>
      <c r="C134" s="46" t="s">
        <v>2303</v>
      </c>
      <c r="D134" s="47" t="s">
        <v>2304</v>
      </c>
      <c r="E134" s="48" t="s">
        <v>55</v>
      </c>
      <c r="F134" s="49" t="str">
        <f t="shared" si="2"/>
        <v>Non-Compliant</v>
      </c>
      <c r="G134" t="str">
        <f>IF(VLOOKUP(B134,Master!$I$5:$L$542, 3, 0)&lt;&gt;0, VLOOKUP(B134,Master!$I$5:$L$542, 3, 0), "")</f>
        <v>No</v>
      </c>
    </row>
    <row r="135" spans="1:7" ht="52.8">
      <c r="A135" s="221"/>
      <c r="B135" s="51" t="s">
        <v>1211</v>
      </c>
      <c r="C135" s="46" t="s">
        <v>2305</v>
      </c>
      <c r="D135" s="47" t="s">
        <v>2306</v>
      </c>
      <c r="E135" s="48" t="s">
        <v>55</v>
      </c>
      <c r="F135" s="49" t="str">
        <f t="shared" si="2"/>
        <v>Non-Compliant</v>
      </c>
      <c r="G135" t="str">
        <f>IF(VLOOKUP(B135,Master!$I$5:$L$542, 3, 0)&lt;&gt;0, VLOOKUP(B135,Master!$I$5:$L$542, 3, 0), "")</f>
        <v>No</v>
      </c>
    </row>
    <row r="136" spans="1:7" ht="26.4">
      <c r="A136" s="221"/>
      <c r="B136" s="51" t="s">
        <v>1166</v>
      </c>
      <c r="C136" s="46" t="s">
        <v>2307</v>
      </c>
      <c r="D136" s="47" t="s">
        <v>2308</v>
      </c>
      <c r="E136" s="48" t="s">
        <v>55</v>
      </c>
      <c r="F136" s="49" t="str">
        <f t="shared" si="2"/>
        <v>Non-Compliant</v>
      </c>
      <c r="G136" t="str">
        <f>IF(VLOOKUP(B136,Master!$I$5:$L$542, 3, 0)&lt;&gt;0, VLOOKUP(B136,Master!$I$5:$L$542, 3, 0), "")</f>
        <v>No</v>
      </c>
    </row>
    <row r="137" spans="1:7" ht="26.4">
      <c r="A137" s="221"/>
      <c r="B137" s="51" t="s">
        <v>1170</v>
      </c>
      <c r="C137" s="46" t="s">
        <v>2309</v>
      </c>
      <c r="D137" s="47" t="s">
        <v>2310</v>
      </c>
      <c r="E137" s="48" t="s">
        <v>55</v>
      </c>
      <c r="F137" s="49" t="str">
        <f t="shared" si="2"/>
        <v>Non-Compliant</v>
      </c>
      <c r="G137" t="str">
        <f>IF(VLOOKUP(B137,Master!$I$5:$L$542, 3, 0)&lt;&gt;0, VLOOKUP(B137,Master!$I$5:$L$542, 3, 0), "")</f>
        <v>No</v>
      </c>
    </row>
    <row r="138" spans="1:7">
      <c r="A138" s="221" t="s">
        <v>2311</v>
      </c>
      <c r="B138" s="51" t="s">
        <v>1258</v>
      </c>
      <c r="C138" s="46" t="s">
        <v>2312</v>
      </c>
      <c r="D138" s="47" t="s">
        <v>2313</v>
      </c>
      <c r="E138" s="48" t="s">
        <v>27</v>
      </c>
      <c r="F138" s="49" t="str">
        <f t="shared" si="2"/>
        <v>Fully Compliant</v>
      </c>
      <c r="G138" t="str">
        <f>IF(VLOOKUP(B138,Master!$I$5:$L$542, 3, 0)&lt;&gt;0, VLOOKUP(B138,Master!$I$5:$L$542, 3, 0), "")</f>
        <v>Yes</v>
      </c>
    </row>
    <row r="139" spans="1:7" ht="52.8">
      <c r="A139" s="221"/>
      <c r="B139" s="51" t="s">
        <v>1281</v>
      </c>
      <c r="C139" s="46" t="s">
        <v>2314</v>
      </c>
      <c r="D139" s="47" t="s">
        <v>2315</v>
      </c>
      <c r="E139" s="48" t="s">
        <v>27</v>
      </c>
      <c r="F139" s="49" t="str">
        <f t="shared" si="2"/>
        <v>Non-Compliant</v>
      </c>
      <c r="G139" t="str">
        <f>IF(AND(Master!K354 = "Yes", Master!K355 = "Yes"), "Yes", IF(OR(Master!K354 = "Yes", Master!K355 = "Yes"), "Under Development", "No"))</f>
        <v>No</v>
      </c>
    </row>
    <row r="140" spans="1:7" ht="132">
      <c r="A140" s="221"/>
      <c r="B140" s="51" t="s">
        <v>1288</v>
      </c>
      <c r="C140" s="46" t="s">
        <v>2316</v>
      </c>
      <c r="D140" s="47" t="s">
        <v>2317</v>
      </c>
      <c r="E140" s="48" t="s">
        <v>27</v>
      </c>
      <c r="F140" s="49" t="str">
        <f t="shared" si="2"/>
        <v>Non-Compliant</v>
      </c>
      <c r="G140" t="str">
        <f>IF(VLOOKUP(B140,Master!$I$5:$L$542, 3, 0)&lt;&gt;0, VLOOKUP(B140,Master!$I$5:$L$542, 3, 0), "")</f>
        <v>No</v>
      </c>
    </row>
    <row r="141" spans="1:7" ht="132">
      <c r="A141" s="221"/>
      <c r="B141" s="51" t="s">
        <v>1292</v>
      </c>
      <c r="C141" s="46" t="s">
        <v>2318</v>
      </c>
      <c r="D141" s="47" t="s">
        <v>2319</v>
      </c>
      <c r="E141" s="48" t="s">
        <v>27</v>
      </c>
      <c r="F141" s="49" t="str">
        <f t="shared" si="2"/>
        <v>Non-Compliant</v>
      </c>
      <c r="G141" t="str">
        <f>IF(VLOOKUP(B141,Master!$I$5:$L$542, 3, 0)&lt;&gt;0, VLOOKUP(B141,Master!$I$5:$L$542, 3, 0), "")</f>
        <v>No</v>
      </c>
    </row>
    <row r="142" spans="1:7" ht="92.4">
      <c r="A142" s="221"/>
      <c r="B142" s="51" t="s">
        <v>1345</v>
      </c>
      <c r="C142" s="46" t="s">
        <v>2320</v>
      </c>
      <c r="D142" s="47" t="s">
        <v>2321</v>
      </c>
      <c r="E142" s="48" t="s">
        <v>55</v>
      </c>
      <c r="F142" s="49" t="str">
        <f t="shared" si="2"/>
        <v>Non-Compliant</v>
      </c>
      <c r="G142" t="str">
        <f>IF(VLOOKUP(B142,Master!$I$5:$L$542, 3, 0)&lt;&gt;0, VLOOKUP(B142,Master!$I$5:$L$542, 3, 0), "")</f>
        <v>No</v>
      </c>
    </row>
    <row r="143" spans="1:7">
      <c r="A143" s="221"/>
      <c r="B143" s="51" t="s">
        <v>1349</v>
      </c>
      <c r="C143" s="46" t="s">
        <v>2322</v>
      </c>
      <c r="D143" s="47" t="s">
        <v>2323</v>
      </c>
      <c r="E143" s="48" t="s">
        <v>55</v>
      </c>
      <c r="F143" s="49" t="str">
        <f t="shared" si="2"/>
        <v>Partially Compliant</v>
      </c>
      <c r="G143" t="str">
        <f>IF(VLOOKUP(B143,Master!$I$5:$L$542, 3, 0)&lt;&gt;0, VLOOKUP(B143,Master!$I$5:$L$542, 3, 0), "")</f>
        <v>Under Development</v>
      </c>
    </row>
    <row r="144" spans="1:7">
      <c r="A144" s="221"/>
      <c r="B144" s="51" t="s">
        <v>1299</v>
      </c>
      <c r="C144" s="46" t="s">
        <v>2324</v>
      </c>
      <c r="D144" s="47" t="s">
        <v>2325</v>
      </c>
      <c r="E144" s="48" t="s">
        <v>55</v>
      </c>
      <c r="F144" s="49" t="str">
        <f t="shared" si="2"/>
        <v>Non-Compliant</v>
      </c>
      <c r="G144" t="str">
        <f>IF(VLOOKUP(B144,Master!$I$5:$L$542, 3, 0)&lt;&gt;0, VLOOKUP(B144,Master!$I$5:$L$542, 3, 0), "")</f>
        <v>No</v>
      </c>
    </row>
    <row r="145" spans="1:7" ht="26.4">
      <c r="A145" s="221"/>
      <c r="B145" s="51" t="s">
        <v>1359</v>
      </c>
      <c r="C145" s="46" t="s">
        <v>2326</v>
      </c>
      <c r="D145" s="47" t="s">
        <v>2327</v>
      </c>
      <c r="E145" s="48" t="s">
        <v>55</v>
      </c>
      <c r="F145" s="49" t="str">
        <f t="shared" si="2"/>
        <v>Fully Compliant</v>
      </c>
      <c r="G145" t="str">
        <f>IF(VLOOKUP(B145,Master!$I$5:$L$542, 3, 0)&lt;&gt;0, VLOOKUP(B145,Master!$I$5:$L$542, 3, 0), "")</f>
        <v>Yes</v>
      </c>
    </row>
    <row r="146" spans="1:7" ht="79.2">
      <c r="A146" s="221"/>
      <c r="B146" s="51" t="s">
        <v>1313</v>
      </c>
      <c r="C146" s="46" t="s">
        <v>2328</v>
      </c>
      <c r="D146" s="47" t="s">
        <v>2329</v>
      </c>
      <c r="E146" s="48" t="s">
        <v>55</v>
      </c>
      <c r="F146" s="49" t="str">
        <f t="shared" si="2"/>
        <v>Non-Compliant</v>
      </c>
      <c r="G146" t="str">
        <f>IF(AND(Master!K363 = "Yes", Master!K383 = "Yes"), "Yes", IF(OR(Master!K363 = "Yes", Master!K383 = "Yes"), "Under Development", "No"))</f>
        <v>No</v>
      </c>
    </row>
    <row r="147" spans="1:7" ht="26.4">
      <c r="A147" s="221"/>
      <c r="B147" s="51" t="s">
        <v>1306</v>
      </c>
      <c r="C147" s="46" t="s">
        <v>2330</v>
      </c>
      <c r="D147" s="47" t="s">
        <v>2331</v>
      </c>
      <c r="E147" s="48" t="s">
        <v>181</v>
      </c>
      <c r="F147" s="49" t="str">
        <f t="shared" si="2"/>
        <v>Non-Compliant</v>
      </c>
      <c r="G147" t="str">
        <f>IF(VLOOKUP(B147,Master!$I$5:$L$542, 3, 0)&lt;&gt;0, VLOOKUP(B147,Master!$I$5:$L$542, 3, 0), "")</f>
        <v>No</v>
      </c>
    </row>
    <row r="148" spans="1:7" ht="79.2">
      <c r="A148" s="221" t="s">
        <v>1950</v>
      </c>
      <c r="B148" s="51" t="s">
        <v>686</v>
      </c>
      <c r="C148" s="46" t="s">
        <v>2332</v>
      </c>
      <c r="D148" s="47" t="s">
        <v>2333</v>
      </c>
      <c r="E148" s="48" t="s">
        <v>27</v>
      </c>
      <c r="F148" s="49" t="str">
        <f t="shared" si="2"/>
        <v>Non-Compliant</v>
      </c>
      <c r="G148" t="str">
        <f>IF(AND(Master!K188 = "Yes", Master!K189 = "Yes"), "Yes", IF(OR(Master!K188 = "Yes", Master!K189 = "Yes"), "Under Development", "No"))</f>
        <v>No</v>
      </c>
    </row>
    <row r="149" spans="1:7">
      <c r="A149" s="221"/>
      <c r="B149" s="51" t="s">
        <v>682</v>
      </c>
      <c r="C149" s="46" t="s">
        <v>2334</v>
      </c>
      <c r="D149" s="47" t="s">
        <v>2335</v>
      </c>
      <c r="E149" s="48" t="s">
        <v>27</v>
      </c>
      <c r="F149" s="49" t="str">
        <f t="shared" si="2"/>
        <v>Fully Compliant</v>
      </c>
      <c r="G149" t="str">
        <f>IF(VLOOKUP(B149,Master!$I$5:$L$542, 3, 0)&lt;&gt;0, VLOOKUP(B149,Master!$I$5:$L$542, 3, 0), "")</f>
        <v>Yes</v>
      </c>
    </row>
    <row r="150" spans="1:7" ht="26.4">
      <c r="A150" s="221"/>
      <c r="B150" s="51" t="s">
        <v>723</v>
      </c>
      <c r="C150" s="46" t="s">
        <v>2336</v>
      </c>
      <c r="D150" s="47" t="s">
        <v>2337</v>
      </c>
      <c r="E150" s="48" t="s">
        <v>55</v>
      </c>
      <c r="F150" s="49" t="str">
        <f t="shared" si="2"/>
        <v>Non-Compliant</v>
      </c>
      <c r="G150" t="str">
        <f>IF(VLOOKUP(B150,Master!$I$5:$L$542, 3, 0)&lt;&gt;0, VLOOKUP(B150,Master!$I$5:$L$542, 3, 0), "")</f>
        <v>No</v>
      </c>
    </row>
    <row r="151" spans="1:7" ht="52.8">
      <c r="A151" s="221"/>
      <c r="B151" s="51" t="s">
        <v>727</v>
      </c>
      <c r="C151" s="46" t="s">
        <v>2338</v>
      </c>
      <c r="D151" s="47" t="s">
        <v>2339</v>
      </c>
      <c r="E151" s="48" t="s">
        <v>55</v>
      </c>
      <c r="F151" s="49" t="str">
        <f t="shared" si="2"/>
        <v>Non-Compliant</v>
      </c>
      <c r="G151" t="str">
        <f>IF(VLOOKUP(B151,Master!$I$5:$L$542, 3, 0)&lt;&gt;0, VLOOKUP(B151,Master!$I$5:$L$542, 3, 0), "")</f>
        <v>No</v>
      </c>
    </row>
    <row r="152" spans="1:7" ht="79.2">
      <c r="A152" s="221"/>
      <c r="B152" s="51" t="s">
        <v>731</v>
      </c>
      <c r="C152" s="46" t="s">
        <v>2340</v>
      </c>
      <c r="D152" s="47" t="s">
        <v>2341</v>
      </c>
      <c r="E152" s="48" t="s">
        <v>55</v>
      </c>
      <c r="F152" s="49" t="str">
        <f t="shared" si="2"/>
        <v>Non-Compliant</v>
      </c>
      <c r="G152" t="str">
        <f>IF(VLOOKUP(B152,Master!$I$5:$L$542, 3, 0)&lt;&gt;0, VLOOKUP(B152,Master!$I$5:$L$542, 3, 0), "")</f>
        <v>No</v>
      </c>
    </row>
    <row r="153" spans="1:7" ht="92.4">
      <c r="A153" s="221"/>
      <c r="B153" s="51" t="s">
        <v>735</v>
      </c>
      <c r="C153" s="46" t="s">
        <v>2342</v>
      </c>
      <c r="D153" s="47" t="s">
        <v>2343</v>
      </c>
      <c r="E153" s="48" t="s">
        <v>55</v>
      </c>
      <c r="F153" s="49" t="str">
        <f t="shared" si="2"/>
        <v>Non-Compliant</v>
      </c>
      <c r="G153" t="str">
        <f>IF(VLOOKUP(B153,Master!$I$5:$L$542, 3, 0)&lt;&gt;0, VLOOKUP(B153,Master!$I$5:$L$542, 3, 0), "")</f>
        <v>No</v>
      </c>
    </row>
    <row r="154" spans="1:7" ht="52.8">
      <c r="A154" s="221"/>
      <c r="B154" s="51" t="s">
        <v>693</v>
      </c>
      <c r="C154" s="46" t="s">
        <v>2344</v>
      </c>
      <c r="D154" s="47" t="s">
        <v>2345</v>
      </c>
      <c r="E154" s="48" t="s">
        <v>181</v>
      </c>
      <c r="F154" s="49" t="str">
        <f t="shared" si="2"/>
        <v>Non-Compliant</v>
      </c>
      <c r="G154" t="str">
        <f>IF(VLOOKUP(B154,Master!$I$5:$L$542, 3, 0)&lt;&gt;0, VLOOKUP(B154,Master!$I$5:$L$542, 3, 0), "")</f>
        <v>No</v>
      </c>
    </row>
    <row r="155" spans="1:7" ht="105.6">
      <c r="A155" s="221"/>
      <c r="B155" s="51" t="s">
        <v>2346</v>
      </c>
      <c r="C155" s="46" t="s">
        <v>2347</v>
      </c>
      <c r="D155" s="47" t="s">
        <v>2348</v>
      </c>
      <c r="E155" s="48" t="s">
        <v>55</v>
      </c>
      <c r="F155" s="49" t="str">
        <f>IF(G155="Yes","Fully Compliant",IF(G155="Under Development","Partially Compliant","Non-Compliant"))</f>
        <v>Non-Compliant</v>
      </c>
      <c r="G155" t="str">
        <f>IF(AND(Master!K193 = "Yes", Master!K203 = "Yes"), "Yes", IF(OR(Master!K193 = "Yes", Master!K203 = "Yes"), "Under Development", "No"))</f>
        <v>No</v>
      </c>
    </row>
    <row r="156" spans="1:7">
      <c r="A156" s="224" t="s">
        <v>1603</v>
      </c>
      <c r="B156" s="51" t="s">
        <v>1614</v>
      </c>
      <c r="C156" s="46" t="s">
        <v>2349</v>
      </c>
      <c r="D156" s="47" t="s">
        <v>2350</v>
      </c>
      <c r="E156" s="48" t="s">
        <v>27</v>
      </c>
      <c r="F156" s="49" t="str">
        <f t="shared" ref="F156:F174" si="3">IF(G156="Yes","Fully Compliant",IF(G156="Under Development","Partially Compliant","Non-Compliant"))</f>
        <v>Fully Compliant</v>
      </c>
      <c r="G156" t="str">
        <f>IF(VLOOKUP(B156,Master!$I$5:$L$542, 3, 0)&lt;&gt;0, VLOOKUP(B156,Master!$I$5:$L$542, 3, 0), "")</f>
        <v>Yes</v>
      </c>
    </row>
    <row r="157" spans="1:7" ht="52.8">
      <c r="A157" s="225"/>
      <c r="B157" s="51" t="s">
        <v>1621</v>
      </c>
      <c r="C157" s="46" t="s">
        <v>2351</v>
      </c>
      <c r="D157" s="47" t="s">
        <v>2352</v>
      </c>
      <c r="E157" s="48" t="s">
        <v>55</v>
      </c>
      <c r="F157" s="49" t="str">
        <f t="shared" si="3"/>
        <v>Non-Compliant</v>
      </c>
      <c r="G157" t="str">
        <f>IF(VLOOKUP(B157,Master!$I$5:$L$542, 3, 0)&lt;&gt;0, VLOOKUP(B157,Master!$I$5:$L$542, 3, 0), "")</f>
        <v>No</v>
      </c>
    </row>
    <row r="158" spans="1:7">
      <c r="A158" s="225"/>
      <c r="B158" s="51" t="s">
        <v>1651</v>
      </c>
      <c r="C158" s="46" t="s">
        <v>2353</v>
      </c>
      <c r="D158" s="47" t="s">
        <v>2354</v>
      </c>
      <c r="E158" s="48" t="s">
        <v>27</v>
      </c>
      <c r="F158" s="49" t="str">
        <f t="shared" si="3"/>
        <v>Non-Compliant</v>
      </c>
      <c r="G158" t="str">
        <f>IF(VLOOKUP(B158,Master!$I$5:$L$542, 3, 0)&lt;&gt;0, VLOOKUP(B158,Master!$I$5:$L$542, 3, 0), "")</f>
        <v>No</v>
      </c>
    </row>
    <row r="159" spans="1:7">
      <c r="A159" s="225"/>
      <c r="B159" s="51" t="s">
        <v>1664</v>
      </c>
      <c r="C159" s="46" t="s">
        <v>2355</v>
      </c>
      <c r="D159" s="47" t="s">
        <v>2356</v>
      </c>
      <c r="E159" s="48" t="s">
        <v>27</v>
      </c>
      <c r="F159" s="49" t="str">
        <f t="shared" si="3"/>
        <v>Non-Compliant</v>
      </c>
      <c r="G159" t="str">
        <f>IF(AND(Master!K466 = "Yes", Master!K468 = "Yes"), "Yes", IF(OR(Master!K466 = "Yes", Master!K468 = "Yes"), "Under Development", "No"))</f>
        <v>No</v>
      </c>
    </row>
    <row r="160" spans="1:7" ht="14.4">
      <c r="A160" s="225"/>
      <c r="B160" s="51" t="s">
        <v>1695</v>
      </c>
      <c r="C160" s="46" t="s">
        <v>2357</v>
      </c>
      <c r="D160" s="47" t="s">
        <v>2358</v>
      </c>
      <c r="E160" s="48" t="s">
        <v>27</v>
      </c>
      <c r="F160" s="49" t="str">
        <f t="shared" si="3"/>
        <v>Non-Compliant</v>
      </c>
      <c r="G160" t="str">
        <f>IF(VLOOKUP(B160,Master!$I$5:$L$542, 3, 0)&lt;&gt;0, VLOOKUP(B160,Master!$I$5:$L$542, 3, 0), "")</f>
        <v>No</v>
      </c>
    </row>
    <row r="161" spans="1:7" ht="14.4">
      <c r="A161" s="225"/>
      <c r="B161" s="51" t="s">
        <v>1668</v>
      </c>
      <c r="C161" s="46" t="s">
        <v>2359</v>
      </c>
      <c r="D161" s="47" t="s">
        <v>2360</v>
      </c>
      <c r="E161" s="48" t="s">
        <v>55</v>
      </c>
      <c r="F161" s="49" t="str">
        <f t="shared" si="3"/>
        <v>Non-Compliant</v>
      </c>
      <c r="G161" t="str">
        <f>IF(VLOOKUP(B161,Master!$I$5:$L$542, 3, 0)&lt;&gt;0, VLOOKUP(B161,Master!$I$5:$L$542, 3, 0), "")</f>
        <v>No</v>
      </c>
    </row>
    <row r="162" spans="1:7" ht="92.4">
      <c r="A162" s="225"/>
      <c r="B162" s="51" t="s">
        <v>1702</v>
      </c>
      <c r="C162" s="46" t="s">
        <v>2361</v>
      </c>
      <c r="D162" s="47" t="s">
        <v>2362</v>
      </c>
      <c r="E162" s="48" t="s">
        <v>27</v>
      </c>
      <c r="F162" s="49" t="str">
        <f t="shared" si="3"/>
        <v>Non-Compliant</v>
      </c>
      <c r="G162" t="str">
        <f>IF(VLOOKUP(B162,Master!$I$5:$L$542, 3, 0)&lt;&gt;0, VLOOKUP(B162,Master!$I$5:$L$542, 3, 0), "")</f>
        <v>No</v>
      </c>
    </row>
    <row r="163" spans="1:7" ht="52.8">
      <c r="A163" s="225"/>
      <c r="B163" s="51" t="s">
        <v>1709</v>
      </c>
      <c r="C163" s="46" t="s">
        <v>2363</v>
      </c>
      <c r="D163" s="47" t="s">
        <v>2364</v>
      </c>
      <c r="E163" s="48" t="s">
        <v>181</v>
      </c>
      <c r="F163" s="49" t="str">
        <f t="shared" si="3"/>
        <v>Non-Compliant</v>
      </c>
      <c r="G163" t="str">
        <f>IF(VLOOKUP(B163,Master!$I$5:$L$542, 3, 0)&lt;&gt;0, VLOOKUP(B163,Master!$I$5:$L$542, 3, 0), "")</f>
        <v>No</v>
      </c>
    </row>
    <row r="164" spans="1:7" ht="79.2">
      <c r="A164" s="225"/>
      <c r="B164" s="51" t="s">
        <v>1640</v>
      </c>
      <c r="C164" s="46" t="s">
        <v>2365</v>
      </c>
      <c r="D164" s="47" t="s">
        <v>2366</v>
      </c>
      <c r="E164" s="48" t="s">
        <v>55</v>
      </c>
      <c r="F164" s="49" t="str">
        <f t="shared" si="3"/>
        <v>Non-Compliant</v>
      </c>
      <c r="G164" t="str">
        <f>IF(AND(Master!K459 = "Yes", Master!K481 = "Yes", Master!K469 = "Yes"), "Yes", IF(OR(Master!K459 = "Yes", Master!K481 = "Yes", Master!K469 = "Yes"), "Under Development", "No"))</f>
        <v>No</v>
      </c>
    </row>
    <row r="165" spans="1:7" ht="26.4">
      <c r="A165" s="226"/>
      <c r="B165" s="51" t="s">
        <v>1713</v>
      </c>
      <c r="C165" s="46" t="s">
        <v>2367</v>
      </c>
      <c r="D165" s="47" t="s">
        <v>2368</v>
      </c>
      <c r="E165" s="48" t="s">
        <v>55</v>
      </c>
      <c r="F165" s="49" t="str">
        <f t="shared" si="3"/>
        <v>Non-Compliant</v>
      </c>
      <c r="G165" t="str">
        <f>IF(VLOOKUP(B165,Master!$I$5:$L$542, 3, 0)&lt;&gt;0, VLOOKUP(B165,Master!$I$5:$L$542, 3, 0), "")</f>
        <v>No</v>
      </c>
    </row>
    <row r="166" spans="1:7">
      <c r="A166" s="224" t="s">
        <v>1528</v>
      </c>
      <c r="B166" s="51" t="s">
        <v>1536</v>
      </c>
      <c r="C166" s="46" t="s">
        <v>2369</v>
      </c>
      <c r="D166" s="47" t="s">
        <v>2370</v>
      </c>
      <c r="E166" s="48" t="s">
        <v>27</v>
      </c>
      <c r="F166" s="49" t="str">
        <f t="shared" si="3"/>
        <v>Non-Compliant</v>
      </c>
      <c r="G166" t="str">
        <f>IF(VLOOKUP(B166,Master!$I$5:$L$542, 3, 0)&lt;&gt;0, VLOOKUP(B166,Master!$I$5:$L$542, 3, 0), "")</f>
        <v>No</v>
      </c>
    </row>
    <row r="167" spans="1:7">
      <c r="A167" s="225"/>
      <c r="B167" s="51" t="s">
        <v>1546</v>
      </c>
      <c r="C167" s="46" t="s">
        <v>2371</v>
      </c>
      <c r="D167" s="47" t="s">
        <v>2372</v>
      </c>
      <c r="E167" s="48" t="s">
        <v>55</v>
      </c>
      <c r="F167" s="49" t="str">
        <f t="shared" si="3"/>
        <v>Non-Compliant</v>
      </c>
      <c r="G167" t="str">
        <f>IF(VLOOKUP(B167,Master!$I$5:$L$542, 3, 0)&lt;&gt;0, VLOOKUP(B167,Master!$I$5:$L$542, 3, 0), "")</f>
        <v>No</v>
      </c>
    </row>
    <row r="168" spans="1:7" ht="26.4">
      <c r="A168" s="225"/>
      <c r="B168" s="51" t="s">
        <v>1564</v>
      </c>
      <c r="C168" s="46" t="s">
        <v>2373</v>
      </c>
      <c r="D168" s="47" t="s">
        <v>2374</v>
      </c>
      <c r="E168" s="48" t="s">
        <v>27</v>
      </c>
      <c r="F168" s="49" t="str">
        <f t="shared" si="3"/>
        <v>Non-Compliant</v>
      </c>
      <c r="G168" t="str">
        <f>IF(VLOOKUP(B168,Master!$I$5:$L$542, 3, 0)&lt;&gt;0, VLOOKUP(B168,Master!$I$5:$L$542, 3, 0), "")</f>
        <v>No</v>
      </c>
    </row>
    <row r="169" spans="1:7" ht="105.6">
      <c r="A169" s="225"/>
      <c r="B169" s="51" t="s">
        <v>1571</v>
      </c>
      <c r="C169" s="46" t="s">
        <v>2375</v>
      </c>
      <c r="D169" s="47" t="s">
        <v>2376</v>
      </c>
      <c r="E169" s="48" t="s">
        <v>27</v>
      </c>
      <c r="F169" s="49" t="str">
        <f t="shared" si="3"/>
        <v>Non-Compliant</v>
      </c>
      <c r="G169" t="str">
        <f>IF(VLOOKUP(B169,Master!$I$5:$L$542, 3, 0)&lt;&gt;0, VLOOKUP(B169,Master!$I$5:$L$542, 3, 0), "")</f>
        <v>No</v>
      </c>
    </row>
    <row r="170" spans="1:7" ht="303.60000000000002">
      <c r="A170" s="225"/>
      <c r="B170" s="51" t="s">
        <v>1575</v>
      </c>
      <c r="C170" s="46" t="s">
        <v>2377</v>
      </c>
      <c r="D170" s="47" t="s">
        <v>2378</v>
      </c>
      <c r="E170" s="48" t="s">
        <v>181</v>
      </c>
      <c r="F170" s="49" t="str">
        <f t="shared" si="3"/>
        <v>Non-Compliant</v>
      </c>
      <c r="G170" t="str">
        <f>IF(AND(Master!K440 = "Yes", Master!K443 = "Yes"), "Yes", IF(OR(Master!K440 = "Yes", Master!K443 = "Yes"), "Under Development", "No"))</f>
        <v>No</v>
      </c>
    </row>
    <row r="171" spans="1:7" ht="105.6">
      <c r="A171" s="225"/>
      <c r="B171" s="51" t="s">
        <v>1579</v>
      </c>
      <c r="C171" s="46" t="s">
        <v>2379</v>
      </c>
      <c r="D171" s="47" t="s">
        <v>2380</v>
      </c>
      <c r="E171" s="48" t="s">
        <v>27</v>
      </c>
      <c r="F171" s="49" t="str">
        <f t="shared" si="3"/>
        <v>Non-Compliant</v>
      </c>
      <c r="G171" t="str">
        <f>IF(VLOOKUP(B171,Master!$I$5:$L$542, 3, 0)&lt;&gt;0, VLOOKUP(B171,Master!$I$5:$L$542, 3, 0), "")</f>
        <v>No</v>
      </c>
    </row>
    <row r="172" spans="1:7" ht="26.4">
      <c r="A172" s="225"/>
      <c r="B172" s="51" t="s">
        <v>1589</v>
      </c>
      <c r="C172" s="46" t="s">
        <v>2381</v>
      </c>
      <c r="D172" s="47" t="s">
        <v>2382</v>
      </c>
      <c r="E172" s="48" t="s">
        <v>55</v>
      </c>
      <c r="F172" s="49" t="str">
        <f t="shared" si="3"/>
        <v>Non-Compliant</v>
      </c>
      <c r="G172" t="str">
        <f>IF(VLOOKUP(B172,Master!$I$5:$L$542, 3, 0)&lt;&gt;0, VLOOKUP(B172,Master!$I$5:$L$542, 3, 0), "")</f>
        <v>No</v>
      </c>
    </row>
    <row r="173" spans="1:7" ht="52.8">
      <c r="A173" s="225"/>
      <c r="B173" s="51" t="s">
        <v>1553</v>
      </c>
      <c r="C173" s="46" t="s">
        <v>2383</v>
      </c>
      <c r="D173" s="47" t="s">
        <v>2384</v>
      </c>
      <c r="E173" s="48" t="s">
        <v>55</v>
      </c>
      <c r="F173" s="49" t="str">
        <f t="shared" si="3"/>
        <v>Non-Compliant</v>
      </c>
      <c r="G173" t="str">
        <f>IF(VLOOKUP(B173,Master!$I$5:$L$542, 3, 0)&lt;&gt;0, VLOOKUP(B173,Master!$I$5:$L$542, 3, 0), "")</f>
        <v>No</v>
      </c>
    </row>
    <row r="174" spans="1:7" ht="92.4">
      <c r="A174" s="226"/>
      <c r="B174" s="51" t="s">
        <v>1593</v>
      </c>
      <c r="C174" s="46" t="s">
        <v>2385</v>
      </c>
      <c r="D174" s="47" t="s">
        <v>2386</v>
      </c>
      <c r="E174" s="48" t="s">
        <v>181</v>
      </c>
      <c r="F174" s="49" t="str">
        <f t="shared" si="3"/>
        <v>Non-Compliant</v>
      </c>
      <c r="G174" t="str">
        <f>IF(VLOOKUP(B174,Master!$I$5:$L$542, 3, 0)&lt;&gt;0, VLOOKUP(B174,Master!$I$5:$L$542, 3, 0), "")</f>
        <v>No</v>
      </c>
    </row>
    <row r="175" spans="1:7" ht="52.8">
      <c r="A175" s="221" t="s">
        <v>195</v>
      </c>
      <c r="B175" s="51" t="s">
        <v>203</v>
      </c>
      <c r="C175" s="46" t="s">
        <v>2387</v>
      </c>
      <c r="D175" s="47" t="s">
        <v>2388</v>
      </c>
      <c r="E175" s="48" t="s">
        <v>27</v>
      </c>
      <c r="F175" s="49" t="str">
        <f t="shared" si="2"/>
        <v>Fully Compliant</v>
      </c>
      <c r="G175" t="str">
        <f>IF(VLOOKUP(B175,Master!$I$5:$L$542, 3, 0)&lt;&gt;0, VLOOKUP(B175,Master!$I$5:$L$542, 3, 0), "")</f>
        <v>Yes</v>
      </c>
    </row>
    <row r="176" spans="1:7" ht="26.4">
      <c r="A176" s="221"/>
      <c r="B176" s="51" t="s">
        <v>232</v>
      </c>
      <c r="C176" s="46" t="s">
        <v>2389</v>
      </c>
      <c r="D176" s="47" t="s">
        <v>2390</v>
      </c>
      <c r="E176" s="48" t="s">
        <v>27</v>
      </c>
      <c r="F176" s="49" t="str">
        <f t="shared" si="2"/>
        <v>Fully Compliant</v>
      </c>
      <c r="G176" t="str">
        <f>IF(VLOOKUP(B176,Master!$I$5:$L$542, 3, 0)&lt;&gt;0, VLOOKUP(B176,Master!$I$5:$L$542, 3, 0), "")</f>
        <v>Yes</v>
      </c>
    </row>
    <row r="177" spans="1:7" ht="26.4">
      <c r="A177" s="221"/>
      <c r="B177" s="51" t="s">
        <v>224</v>
      </c>
      <c r="C177" s="46" t="s">
        <v>2391</v>
      </c>
      <c r="D177" s="47" t="s">
        <v>2392</v>
      </c>
      <c r="E177" s="48" t="s">
        <v>27</v>
      </c>
      <c r="F177" s="49" t="str">
        <f t="shared" si="2"/>
        <v>Partially Compliant</v>
      </c>
      <c r="G177" t="str">
        <f>IF(VLOOKUP(B177,Master!$I$5:$L$542, 3, 0)&lt;&gt;0, VLOOKUP(B177,Master!$I$5:$L$542, 3, 0), "")</f>
        <v>Under Development</v>
      </c>
    </row>
    <row r="178" spans="1:7" ht="26.4">
      <c r="A178" s="221"/>
      <c r="B178" s="51" t="s">
        <v>228</v>
      </c>
      <c r="C178" s="46" t="s">
        <v>2393</v>
      </c>
      <c r="D178" s="47" t="s">
        <v>2394</v>
      </c>
      <c r="E178" s="48" t="s">
        <v>27</v>
      </c>
      <c r="F178" s="49" t="str">
        <f t="shared" si="2"/>
        <v>Fully Compliant</v>
      </c>
      <c r="G178" t="str">
        <f>IF(VLOOKUP(B178,Master!$I$5:$L$542, 3, 0)&lt;&gt;0, VLOOKUP(B178,Master!$I$5:$L$542, 3, 0), "")</f>
        <v>Yes</v>
      </c>
    </row>
    <row r="179" spans="1:7" ht="145.19999999999999">
      <c r="A179" s="221"/>
      <c r="B179" s="51" t="s">
        <v>236</v>
      </c>
      <c r="C179" s="46" t="s">
        <v>2395</v>
      </c>
      <c r="D179" s="47" t="s">
        <v>2396</v>
      </c>
      <c r="E179" s="48" t="s">
        <v>27</v>
      </c>
      <c r="F179" s="49" t="str">
        <f t="shared" si="2"/>
        <v>Fully Compliant</v>
      </c>
      <c r="G179" t="str">
        <f>IF(VLOOKUP(B179,Master!$I$5:$L$542, 3, 0)&lt;&gt;0, VLOOKUP(B179,Master!$I$5:$L$542, 3, 0), "")</f>
        <v>Yes</v>
      </c>
    </row>
    <row r="180" spans="1:7">
      <c r="A180" s="221"/>
      <c r="B180" s="51" t="s">
        <v>240</v>
      </c>
      <c r="C180" s="46" t="s">
        <v>2397</v>
      </c>
      <c r="D180" s="47" t="s">
        <v>2398</v>
      </c>
      <c r="E180" s="48" t="s">
        <v>27</v>
      </c>
      <c r="F180" s="49" t="str">
        <f t="shared" si="2"/>
        <v>Fully Compliant</v>
      </c>
      <c r="G180" t="str">
        <f>IF(VLOOKUP(B180,Master!$I$5:$L$542, 3, 0)&lt;&gt;0, VLOOKUP(B180,Master!$I$5:$L$542, 3, 0), "")</f>
        <v>Yes</v>
      </c>
    </row>
    <row r="181" spans="1:7" ht="26.4">
      <c r="A181" s="221"/>
      <c r="B181" s="51" t="s">
        <v>268</v>
      </c>
      <c r="C181" s="46" t="s">
        <v>2399</v>
      </c>
      <c r="D181" s="47" t="s">
        <v>2400</v>
      </c>
      <c r="E181" s="48" t="s">
        <v>55</v>
      </c>
      <c r="F181" s="49" t="str">
        <f t="shared" si="2"/>
        <v>Partially Compliant</v>
      </c>
      <c r="G181" t="str">
        <f>IF(VLOOKUP(B181,Master!$I$5:$L$542, 3, 0)&lt;&gt;0, VLOOKUP(B181,Master!$I$5:$L$542, 3, 0), "")</f>
        <v>Under Development</v>
      </c>
    </row>
    <row r="182" spans="1:7" ht="26.4">
      <c r="A182" s="221"/>
      <c r="B182" s="51" t="s">
        <v>272</v>
      </c>
      <c r="C182" s="46" t="s">
        <v>2401</v>
      </c>
      <c r="D182" s="47" t="s">
        <v>2402</v>
      </c>
      <c r="E182" s="48" t="s">
        <v>55</v>
      </c>
      <c r="F182" s="49" t="str">
        <f t="shared" si="2"/>
        <v>Non-Compliant</v>
      </c>
      <c r="G182" t="str">
        <f>IF(VLOOKUP(B182,Master!$I$5:$L$542, 3, 0)&lt;&gt;0, VLOOKUP(B182,Master!$I$5:$L$542, 3, 0), "")</f>
        <v>No</v>
      </c>
    </row>
    <row r="183" spans="1:7" ht="79.2">
      <c r="A183" s="221"/>
      <c r="B183" s="51" t="s">
        <v>254</v>
      </c>
      <c r="C183" s="46" t="s">
        <v>2403</v>
      </c>
      <c r="D183" s="47" t="s">
        <v>2404</v>
      </c>
      <c r="E183" s="48" t="s">
        <v>55</v>
      </c>
      <c r="F183" s="49" t="str">
        <f t="shared" si="2"/>
        <v>Non-Compliant</v>
      </c>
      <c r="G183" t="str">
        <f>IF(VLOOKUP(B183,Master!$I$5:$L$542, 3, 0)&lt;&gt;0, VLOOKUP(B183,Master!$I$5:$L$542, 3, 0), "")</f>
        <v>No</v>
      </c>
    </row>
    <row r="184" spans="1:7" ht="105.6">
      <c r="A184" s="221"/>
      <c r="B184" s="51" t="s">
        <v>250</v>
      </c>
      <c r="C184" s="46" t="s">
        <v>248</v>
      </c>
      <c r="D184" s="47" t="s">
        <v>2405</v>
      </c>
      <c r="E184" s="48" t="s">
        <v>55</v>
      </c>
      <c r="F184" s="49" t="str">
        <f t="shared" si="2"/>
        <v>Fully Compliant</v>
      </c>
      <c r="G184" t="str">
        <f>IF(VLOOKUP(B184,Master!$I$5:$L$542, 3, 0)&lt;&gt;0, VLOOKUP(B184,Master!$I$5:$L$542, 3, 0), "")</f>
        <v>Yes</v>
      </c>
    </row>
    <row r="185" spans="1:7" ht="79.2">
      <c r="A185" s="221" t="s">
        <v>2021</v>
      </c>
      <c r="B185" s="51" t="s">
        <v>598</v>
      </c>
      <c r="C185" s="46" t="s">
        <v>2406</v>
      </c>
      <c r="D185" s="47" t="s">
        <v>2407</v>
      </c>
      <c r="E185" s="48" t="s">
        <v>27</v>
      </c>
      <c r="F185" s="49" t="str">
        <f t="shared" si="2"/>
        <v>Fully Compliant</v>
      </c>
      <c r="G185" t="str">
        <f>IF(VLOOKUP(B185,Master!$I$5:$L$542, 3, 0)&lt;&gt;0, VLOOKUP(B185,Master!$I$5:$L$542, 3, 0), "")</f>
        <v>Yes</v>
      </c>
    </row>
    <row r="186" spans="1:7">
      <c r="A186" s="221"/>
      <c r="B186" s="51" t="s">
        <v>602</v>
      </c>
      <c r="C186" s="46" t="s">
        <v>2408</v>
      </c>
      <c r="D186" s="47" t="s">
        <v>2409</v>
      </c>
      <c r="E186" s="48" t="s">
        <v>27</v>
      </c>
      <c r="F186" s="49" t="str">
        <f t="shared" si="2"/>
        <v>Fully Compliant</v>
      </c>
      <c r="G186" t="str">
        <f>IF(VLOOKUP(B186,Master!$I$5:$L$542, 3, 0)&lt;&gt;0, VLOOKUP(B186,Master!$I$5:$L$542, 3, 0), "")</f>
        <v>Yes</v>
      </c>
    </row>
    <row r="187" spans="1:7" ht="92.4">
      <c r="A187" s="221"/>
      <c r="B187" s="51" t="s">
        <v>611</v>
      </c>
      <c r="C187" s="46" t="s">
        <v>2410</v>
      </c>
      <c r="D187" s="47" t="s">
        <v>2411</v>
      </c>
      <c r="E187" s="48" t="s">
        <v>27</v>
      </c>
      <c r="F187" s="49" t="str">
        <f t="shared" si="2"/>
        <v>Fully Compliant</v>
      </c>
      <c r="G187" t="str">
        <f>IF(VLOOKUP(B187,Master!$I$5:$L$542, 3, 0)&lt;&gt;0, VLOOKUP(B187,Master!$I$5:$L$542, 3, 0), "")</f>
        <v>Yes</v>
      </c>
    </row>
    <row r="188" spans="1:7" ht="39.6">
      <c r="A188" s="221"/>
      <c r="B188" s="51" t="s">
        <v>646</v>
      </c>
      <c r="C188" s="46" t="s">
        <v>2412</v>
      </c>
      <c r="D188" s="47" t="s">
        <v>2413</v>
      </c>
      <c r="E188" s="48" t="s">
        <v>55</v>
      </c>
      <c r="F188" s="49" t="str">
        <f t="shared" si="2"/>
        <v>Fully Compliant</v>
      </c>
      <c r="G188" t="str">
        <f>IF(VLOOKUP(B188,Master!$I$5:$L$542, 3, 0)&lt;&gt;0, VLOOKUP(B188,Master!$I$5:$L$542, 3, 0), "")</f>
        <v>Yes</v>
      </c>
    </row>
    <row r="189" spans="1:7" ht="92.4">
      <c r="A189" s="221"/>
      <c r="B189" s="51" t="s">
        <v>628</v>
      </c>
      <c r="C189" s="46" t="s">
        <v>2414</v>
      </c>
      <c r="D189" s="47" t="s">
        <v>2415</v>
      </c>
      <c r="E189" s="48" t="s">
        <v>27</v>
      </c>
      <c r="F189" s="49" t="str">
        <f t="shared" si="2"/>
        <v>Fully Compliant</v>
      </c>
      <c r="G189" t="str">
        <f>IF(VLOOKUP(B189,Master!$I$5:$L$542, 3, 0)&lt;&gt;0, VLOOKUP(B189,Master!$I$5:$L$542, 3, 0), "")</f>
        <v>Yes</v>
      </c>
    </row>
    <row r="190" spans="1:7" ht="105.6">
      <c r="A190" s="221"/>
      <c r="B190" s="51" t="s">
        <v>635</v>
      </c>
      <c r="C190" s="46" t="s">
        <v>2416</v>
      </c>
      <c r="D190" s="47" t="s">
        <v>2417</v>
      </c>
      <c r="E190" s="48" t="s">
        <v>55</v>
      </c>
      <c r="F190" s="49" t="str">
        <f t="shared" si="2"/>
        <v>Non-Compliant</v>
      </c>
      <c r="G190" t="str">
        <f>IF(AND(Master!K174 = "Yes", Master!K176 = "Yes"), "Yes", IF(OR(Master!K174 = "Yes", Master!K176 = "Yes"), "Under Development", "No"))</f>
        <v>No</v>
      </c>
    </row>
    <row r="191" spans="1:7" ht="145.19999999999999">
      <c r="A191" s="221"/>
      <c r="B191" s="51" t="s">
        <v>639</v>
      </c>
      <c r="C191" s="46" t="s">
        <v>2418</v>
      </c>
      <c r="D191" s="47" t="s">
        <v>2419</v>
      </c>
      <c r="E191" s="48" t="s">
        <v>55</v>
      </c>
      <c r="F191" s="49" t="str">
        <f t="shared" si="2"/>
        <v>Non-Compliant</v>
      </c>
      <c r="G191" t="str">
        <f>IF(AND(Master!K175 = "Yes", Master!K180 = "Yes"), "Yes", IF(OR(Master!K175 = "Yes", Master!K180 = "Yes"), "Under Development", "No"))</f>
        <v>No</v>
      </c>
    </row>
    <row r="192" spans="1:7">
      <c r="A192" s="221"/>
      <c r="B192" s="51" t="s">
        <v>652</v>
      </c>
      <c r="C192" s="46" t="s">
        <v>2420</v>
      </c>
      <c r="D192" s="47" t="s">
        <v>2421</v>
      </c>
      <c r="E192" s="48" t="s">
        <v>181</v>
      </c>
      <c r="F192" s="49" t="str">
        <f t="shared" si="2"/>
        <v>Fully Compliant</v>
      </c>
      <c r="G192" t="str">
        <f>IF(VLOOKUP(B192,Master!$I$5:$L$542, 3, 0)&lt;&gt;0, VLOOKUP(B192,Master!$I$5:$L$542, 3, 0), "")</f>
        <v>Yes</v>
      </c>
    </row>
    <row r="193" spans="1:7" ht="39.6">
      <c r="A193" s="221"/>
      <c r="B193" s="51" t="s">
        <v>666</v>
      </c>
      <c r="C193" s="46" t="s">
        <v>2422</v>
      </c>
      <c r="D193" s="47" t="s">
        <v>2423</v>
      </c>
      <c r="E193" s="48" t="s">
        <v>55</v>
      </c>
      <c r="F193" s="49" t="str">
        <f t="shared" si="2"/>
        <v>Partially Compliant</v>
      </c>
      <c r="G193" t="str">
        <f>IF(VLOOKUP(B193,Master!$I$5:$L$542, 3, 0)&lt;&gt;0, VLOOKUP(B193,Master!$I$5:$L$542, 3, 0), "")</f>
        <v>Under Development</v>
      </c>
    </row>
    <row r="194" spans="1:7" ht="39.6">
      <c r="A194" s="221"/>
      <c r="B194" s="51" t="s">
        <v>659</v>
      </c>
      <c r="C194" s="46" t="s">
        <v>2424</v>
      </c>
      <c r="D194" s="47" t="s">
        <v>2425</v>
      </c>
      <c r="E194" s="48" t="s">
        <v>55</v>
      </c>
      <c r="F194" s="49" t="str">
        <f t="shared" si="2"/>
        <v>Fully Compliant</v>
      </c>
      <c r="G194" t="str">
        <f>IF(VLOOKUP(B194,Master!$I$5:$L$542, 3, 0)&lt;&gt;0, VLOOKUP(B194,Master!$I$5:$L$542, 3, 0), "")</f>
        <v>Yes</v>
      </c>
    </row>
    <row r="195" spans="1:7" ht="66" customHeight="1"/>
  </sheetData>
  <autoFilter ref="A1:F194" xr:uid="{0138F91B-D075-4F7B-A5F3-9A60C4E238E9}"/>
  <mergeCells count="20">
    <mergeCell ref="A175:A184"/>
    <mergeCell ref="A185:A194"/>
    <mergeCell ref="A104:A119"/>
    <mergeCell ref="A120:A137"/>
    <mergeCell ref="A138:A147"/>
    <mergeCell ref="A148:A155"/>
    <mergeCell ref="A156:A165"/>
    <mergeCell ref="A166:A174"/>
    <mergeCell ref="E1:E3"/>
    <mergeCell ref="F1:F3"/>
    <mergeCell ref="A91:A103"/>
    <mergeCell ref="A1:A3"/>
    <mergeCell ref="B1:B3"/>
    <mergeCell ref="C1:C3"/>
    <mergeCell ref="D1:D3"/>
    <mergeCell ref="A4:A31"/>
    <mergeCell ref="A32:A51"/>
    <mergeCell ref="A52:A64"/>
    <mergeCell ref="A65:A78"/>
    <mergeCell ref="A79:A90"/>
  </mergeCells>
  <conditionalFormatting sqref="F4:F194">
    <cfRule type="cellIs" dxfId="2" priority="1" operator="equal">
      <formula>"Fully Compliant"</formula>
    </cfRule>
    <cfRule type="cellIs" dxfId="1" priority="2" operator="equal">
      <formula>"Partially Compliant"</formula>
    </cfRule>
    <cfRule type="cellIs" dxfId="0" priority="3" operator="equal">
      <formula>"Non-Compliant"</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834D-E2A7-4312-857E-BC74B8B9E688}">
  <dimension ref="B4:D203"/>
  <sheetViews>
    <sheetView topLeftCell="A61" zoomScale="190" zoomScaleNormal="190" workbookViewId="0">
      <selection activeCell="C142" sqref="C142"/>
    </sheetView>
  </sheetViews>
  <sheetFormatPr defaultRowHeight="14.4"/>
  <cols>
    <col min="3" max="3" width="22.33203125" bestFit="1" customWidth="1"/>
    <col min="4" max="4" width="26.44140625" bestFit="1" customWidth="1"/>
  </cols>
  <sheetData>
    <row r="4" spans="2:4" ht="14.7" customHeight="1"/>
    <row r="5" spans="2:4">
      <c r="C5" s="53" t="s">
        <v>2426</v>
      </c>
      <c r="D5" t="s">
        <v>2427</v>
      </c>
    </row>
    <row r="6" spans="2:4">
      <c r="B6" s="183"/>
      <c r="C6" s="54" t="s">
        <v>1258</v>
      </c>
      <c r="D6">
        <v>1</v>
      </c>
    </row>
    <row r="7" spans="2:4">
      <c r="B7" s="183"/>
      <c r="C7" s="56" t="s">
        <v>1281</v>
      </c>
      <c r="D7" s="50">
        <v>2</v>
      </c>
    </row>
    <row r="8" spans="2:4">
      <c r="B8" s="183"/>
      <c r="C8" s="54" t="s">
        <v>1288</v>
      </c>
      <c r="D8">
        <v>1</v>
      </c>
    </row>
    <row r="9" spans="2:4">
      <c r="B9" s="183"/>
      <c r="C9" s="54" t="s">
        <v>1292</v>
      </c>
      <c r="D9">
        <v>1</v>
      </c>
    </row>
    <row r="10" spans="2:4">
      <c r="B10" s="183"/>
      <c r="C10" s="54" t="s">
        <v>1345</v>
      </c>
      <c r="D10">
        <v>1</v>
      </c>
    </row>
    <row r="11" spans="2:4">
      <c r="B11" s="183"/>
      <c r="C11" s="54" t="s">
        <v>1349</v>
      </c>
      <c r="D11">
        <v>1</v>
      </c>
    </row>
    <row r="12" spans="2:4">
      <c r="B12" s="183"/>
      <c r="C12" s="54" t="s">
        <v>1299</v>
      </c>
      <c r="D12">
        <v>1</v>
      </c>
    </row>
    <row r="13" spans="2:4">
      <c r="B13" s="183"/>
      <c r="C13" s="54" t="s">
        <v>1359</v>
      </c>
      <c r="D13">
        <v>1</v>
      </c>
    </row>
    <row r="14" spans="2:4">
      <c r="B14" s="183"/>
      <c r="C14" s="56" t="s">
        <v>1313</v>
      </c>
      <c r="D14" s="50">
        <v>2</v>
      </c>
    </row>
    <row r="15" spans="2:4">
      <c r="B15" s="183"/>
      <c r="C15" s="54" t="s">
        <v>1306</v>
      </c>
      <c r="D15">
        <v>1</v>
      </c>
    </row>
    <row r="16" spans="2:4">
      <c r="C16" s="54" t="s">
        <v>1439</v>
      </c>
      <c r="D16">
        <v>1</v>
      </c>
    </row>
    <row r="17" spans="3:4">
      <c r="C17" s="54" t="s">
        <v>1458</v>
      </c>
      <c r="D17">
        <v>1</v>
      </c>
    </row>
    <row r="18" spans="3:4">
      <c r="C18" s="54" t="s">
        <v>1443</v>
      </c>
      <c r="D18">
        <v>1</v>
      </c>
    </row>
    <row r="19" spans="3:4">
      <c r="C19" s="54" t="s">
        <v>1447</v>
      </c>
      <c r="D19">
        <v>1</v>
      </c>
    </row>
    <row r="20" spans="3:4">
      <c r="C20" s="54" t="s">
        <v>1451</v>
      </c>
      <c r="D20">
        <v>1</v>
      </c>
    </row>
    <row r="21" spans="3:4">
      <c r="C21" s="54" t="s">
        <v>1492</v>
      </c>
      <c r="D21">
        <v>1</v>
      </c>
    </row>
    <row r="22" spans="3:4">
      <c r="C22" s="54" t="s">
        <v>1496</v>
      </c>
      <c r="D22">
        <v>1</v>
      </c>
    </row>
    <row r="23" spans="3:4">
      <c r="C23" s="54" t="s">
        <v>1500</v>
      </c>
      <c r="D23">
        <v>1</v>
      </c>
    </row>
    <row r="24" spans="3:4">
      <c r="C24" s="54" t="s">
        <v>1514</v>
      </c>
      <c r="D24">
        <v>1</v>
      </c>
    </row>
    <row r="25" spans="3:4">
      <c r="C25" s="54" t="s">
        <v>1474</v>
      </c>
      <c r="D25">
        <v>1</v>
      </c>
    </row>
    <row r="26" spans="3:4">
      <c r="C26" s="54" t="s">
        <v>1481</v>
      </c>
      <c r="D26">
        <v>1</v>
      </c>
    </row>
    <row r="27" spans="3:4">
      <c r="C27" s="54" t="s">
        <v>1467</v>
      </c>
      <c r="D27">
        <v>1</v>
      </c>
    </row>
    <row r="28" spans="3:4">
      <c r="C28" s="54" t="s">
        <v>1504</v>
      </c>
      <c r="D28">
        <v>1</v>
      </c>
    </row>
    <row r="29" spans="3:4">
      <c r="C29" s="54" t="s">
        <v>203</v>
      </c>
      <c r="D29">
        <v>1</v>
      </c>
    </row>
    <row r="30" spans="3:4">
      <c r="C30" s="54" t="s">
        <v>232</v>
      </c>
      <c r="D30">
        <v>1</v>
      </c>
    </row>
    <row r="31" spans="3:4">
      <c r="C31" s="54" t="s">
        <v>224</v>
      </c>
      <c r="D31">
        <v>1</v>
      </c>
    </row>
    <row r="32" spans="3:4">
      <c r="C32" s="54" t="s">
        <v>228</v>
      </c>
      <c r="D32">
        <v>1</v>
      </c>
    </row>
    <row r="33" spans="2:4">
      <c r="C33" s="54" t="s">
        <v>236</v>
      </c>
      <c r="D33">
        <v>1</v>
      </c>
    </row>
    <row r="34" spans="2:4">
      <c r="C34" s="54" t="s">
        <v>240</v>
      </c>
      <c r="D34">
        <v>1</v>
      </c>
    </row>
    <row r="35" spans="2:4">
      <c r="C35" s="54" t="s">
        <v>268</v>
      </c>
      <c r="D35">
        <v>1</v>
      </c>
    </row>
    <row r="36" spans="2:4">
      <c r="C36" s="54" t="s">
        <v>272</v>
      </c>
      <c r="D36">
        <v>1</v>
      </c>
    </row>
    <row r="37" spans="2:4">
      <c r="C37" s="54" t="s">
        <v>254</v>
      </c>
      <c r="D37">
        <v>1</v>
      </c>
    </row>
    <row r="38" spans="2:4">
      <c r="C38" s="54" t="s">
        <v>250</v>
      </c>
      <c r="D38">
        <v>1</v>
      </c>
    </row>
    <row r="39" spans="2:4">
      <c r="B39" s="183"/>
      <c r="C39" s="54" t="s">
        <v>752</v>
      </c>
      <c r="D39">
        <v>1</v>
      </c>
    </row>
    <row r="40" spans="2:4">
      <c r="B40" s="183"/>
      <c r="C40" s="54" t="s">
        <v>756</v>
      </c>
      <c r="D40">
        <v>1</v>
      </c>
    </row>
    <row r="41" spans="2:4">
      <c r="B41" s="183"/>
      <c r="C41" s="54" t="s">
        <v>779</v>
      </c>
      <c r="D41">
        <v>1</v>
      </c>
    </row>
    <row r="42" spans="2:4">
      <c r="B42" s="183"/>
      <c r="C42" s="56" t="s">
        <v>763</v>
      </c>
      <c r="D42" s="50">
        <v>2</v>
      </c>
    </row>
    <row r="43" spans="2:4">
      <c r="B43" s="183"/>
      <c r="C43" s="54" t="s">
        <v>800</v>
      </c>
      <c r="D43">
        <v>1</v>
      </c>
    </row>
    <row r="44" spans="2:4">
      <c r="B44" s="183"/>
      <c r="C44" s="54" t="s">
        <v>786</v>
      </c>
      <c r="D44">
        <v>1</v>
      </c>
    </row>
    <row r="45" spans="2:4">
      <c r="B45" s="183"/>
      <c r="C45" s="54" t="s">
        <v>804</v>
      </c>
      <c r="D45">
        <v>1</v>
      </c>
    </row>
    <row r="46" spans="2:4">
      <c r="B46" s="183"/>
      <c r="C46" s="56" t="s">
        <v>808</v>
      </c>
      <c r="D46" s="50">
        <v>2</v>
      </c>
    </row>
    <row r="47" spans="2:4">
      <c r="B47" s="183"/>
      <c r="C47" s="56" t="s">
        <v>812</v>
      </c>
      <c r="D47" s="50">
        <v>2</v>
      </c>
    </row>
    <row r="48" spans="2:4">
      <c r="B48" s="183"/>
      <c r="C48" s="54" t="s">
        <v>834</v>
      </c>
      <c r="D48">
        <v>1</v>
      </c>
    </row>
    <row r="49" spans="2:4">
      <c r="B49" s="183"/>
      <c r="C49" s="54" t="s">
        <v>852</v>
      </c>
      <c r="D49">
        <v>1</v>
      </c>
    </row>
    <row r="50" spans="2:4">
      <c r="B50" s="183"/>
      <c r="C50" s="54" t="s">
        <v>838</v>
      </c>
      <c r="D50">
        <v>1</v>
      </c>
    </row>
    <row r="51" spans="2:4">
      <c r="B51" s="182"/>
      <c r="C51" s="54" t="s">
        <v>28</v>
      </c>
      <c r="D51">
        <v>1</v>
      </c>
    </row>
    <row r="52" spans="2:4">
      <c r="B52" s="182"/>
      <c r="C52" s="54" t="s">
        <v>34</v>
      </c>
      <c r="D52">
        <v>1</v>
      </c>
    </row>
    <row r="53" spans="2:4">
      <c r="B53" s="182"/>
      <c r="C53" s="54" t="s">
        <v>43</v>
      </c>
      <c r="D53">
        <v>1</v>
      </c>
    </row>
    <row r="54" spans="2:4">
      <c r="B54" s="182"/>
      <c r="C54" s="56" t="s">
        <v>38</v>
      </c>
      <c r="D54" s="50">
        <v>2</v>
      </c>
    </row>
    <row r="55" spans="2:4">
      <c r="B55" s="182"/>
      <c r="C55" s="54" t="s">
        <v>65</v>
      </c>
      <c r="D55">
        <v>1</v>
      </c>
    </row>
    <row r="56" spans="2:4">
      <c r="B56" s="182"/>
      <c r="C56" s="54" t="s">
        <v>69</v>
      </c>
      <c r="D56">
        <v>1</v>
      </c>
    </row>
    <row r="57" spans="2:4">
      <c r="B57" s="182"/>
      <c r="C57" s="54" t="s">
        <v>166</v>
      </c>
      <c r="D57">
        <v>1</v>
      </c>
    </row>
    <row r="58" spans="2:4">
      <c r="B58" s="182"/>
      <c r="C58" s="54" t="s">
        <v>99</v>
      </c>
      <c r="D58">
        <v>1</v>
      </c>
    </row>
    <row r="59" spans="2:4">
      <c r="B59" s="182"/>
      <c r="C59" s="54" t="s">
        <v>131</v>
      </c>
      <c r="D59">
        <v>1</v>
      </c>
    </row>
    <row r="60" spans="2:4">
      <c r="B60" s="182"/>
      <c r="C60" s="54" t="s">
        <v>123</v>
      </c>
      <c r="D60">
        <v>1</v>
      </c>
    </row>
    <row r="61" spans="2:4">
      <c r="B61" s="182"/>
      <c r="C61" s="54" t="s">
        <v>111</v>
      </c>
      <c r="D61">
        <v>1</v>
      </c>
    </row>
    <row r="62" spans="2:4">
      <c r="B62" s="182"/>
      <c r="C62" s="54" t="s">
        <v>103</v>
      </c>
      <c r="D62">
        <v>1</v>
      </c>
    </row>
    <row r="63" spans="2:4">
      <c r="B63" s="182"/>
      <c r="C63" s="54" t="s">
        <v>107</v>
      </c>
      <c r="D63">
        <v>1</v>
      </c>
    </row>
    <row r="64" spans="2:4">
      <c r="B64" s="182"/>
      <c r="C64" s="54" t="s">
        <v>139</v>
      </c>
      <c r="D64">
        <v>1</v>
      </c>
    </row>
    <row r="65" spans="2:4">
      <c r="B65" s="182"/>
      <c r="C65" s="54" t="s">
        <v>115</v>
      </c>
      <c r="D65">
        <v>1</v>
      </c>
    </row>
    <row r="66" spans="2:4">
      <c r="B66" s="182"/>
      <c r="C66" s="54" t="s">
        <v>135</v>
      </c>
      <c r="D66">
        <v>1</v>
      </c>
    </row>
    <row r="67" spans="2:4">
      <c r="B67" s="182"/>
      <c r="C67" s="54" t="s">
        <v>119</v>
      </c>
      <c r="D67">
        <v>1</v>
      </c>
    </row>
    <row r="68" spans="2:4">
      <c r="B68" s="182"/>
      <c r="C68" s="54" t="s">
        <v>127</v>
      </c>
      <c r="D68">
        <v>1</v>
      </c>
    </row>
    <row r="69" spans="2:4">
      <c r="B69" s="182"/>
      <c r="C69" s="54" t="s">
        <v>79</v>
      </c>
      <c r="D69">
        <v>1</v>
      </c>
    </row>
    <row r="70" spans="2:4">
      <c r="B70" s="182"/>
      <c r="C70" s="54" t="s">
        <v>87</v>
      </c>
      <c r="D70">
        <v>1</v>
      </c>
    </row>
    <row r="71" spans="2:4">
      <c r="B71" s="182"/>
      <c r="C71" s="54" t="s">
        <v>91</v>
      </c>
      <c r="D71">
        <v>1</v>
      </c>
    </row>
    <row r="72" spans="2:4">
      <c r="B72" s="182"/>
      <c r="C72" s="54" t="s">
        <v>56</v>
      </c>
      <c r="D72">
        <v>1</v>
      </c>
    </row>
    <row r="73" spans="2:4">
      <c r="B73" s="182"/>
      <c r="C73" s="54" t="s">
        <v>170</v>
      </c>
      <c r="D73">
        <v>1</v>
      </c>
    </row>
    <row r="74" spans="2:4">
      <c r="B74" s="182"/>
      <c r="C74" s="56" t="s">
        <v>83</v>
      </c>
      <c r="D74" s="50">
        <v>1</v>
      </c>
    </row>
    <row r="75" spans="2:4">
      <c r="B75" s="182"/>
      <c r="C75" s="56" t="s">
        <v>149</v>
      </c>
      <c r="D75" s="50">
        <v>1</v>
      </c>
    </row>
    <row r="76" spans="2:4">
      <c r="B76" s="182"/>
      <c r="C76" s="56" t="s">
        <v>190</v>
      </c>
      <c r="D76" s="50">
        <v>1</v>
      </c>
    </row>
    <row r="77" spans="2:4">
      <c r="B77" s="182"/>
      <c r="C77" s="54" t="s">
        <v>60</v>
      </c>
      <c r="D77">
        <v>1</v>
      </c>
    </row>
    <row r="78" spans="2:4">
      <c r="B78" s="182"/>
      <c r="C78" s="54" t="s">
        <v>177</v>
      </c>
      <c r="D78">
        <v>1</v>
      </c>
    </row>
    <row r="79" spans="2:4">
      <c r="B79" s="182"/>
      <c r="C79" s="54" t="s">
        <v>182</v>
      </c>
      <c r="D79">
        <v>1</v>
      </c>
    </row>
    <row r="80" spans="2:4">
      <c r="B80" s="182"/>
      <c r="C80" s="54" t="s">
        <v>186</v>
      </c>
      <c r="D80">
        <v>1</v>
      </c>
    </row>
    <row r="81" spans="2:4">
      <c r="B81" s="184"/>
      <c r="C81" s="54" t="s">
        <v>874</v>
      </c>
      <c r="D81">
        <v>1</v>
      </c>
    </row>
    <row r="82" spans="2:4">
      <c r="B82" s="184"/>
      <c r="C82" s="56" t="s">
        <v>886</v>
      </c>
      <c r="D82" s="50">
        <v>2</v>
      </c>
    </row>
    <row r="83" spans="2:4">
      <c r="B83" s="184"/>
      <c r="C83" s="54" t="s">
        <v>878</v>
      </c>
      <c r="D83">
        <v>1</v>
      </c>
    </row>
    <row r="84" spans="2:4">
      <c r="B84" s="184"/>
      <c r="C84" s="56" t="s">
        <v>890</v>
      </c>
      <c r="D84" s="50">
        <v>2</v>
      </c>
    </row>
    <row r="85" spans="2:4">
      <c r="B85" s="184"/>
      <c r="C85" s="54" t="s">
        <v>882</v>
      </c>
      <c r="D85">
        <v>1</v>
      </c>
    </row>
    <row r="86" spans="2:4">
      <c r="B86" s="184"/>
      <c r="C86" s="56" t="s">
        <v>925</v>
      </c>
      <c r="D86" s="50">
        <v>2</v>
      </c>
    </row>
    <row r="87" spans="2:4">
      <c r="B87" s="184"/>
      <c r="C87" s="54" t="s">
        <v>929</v>
      </c>
      <c r="D87">
        <v>1</v>
      </c>
    </row>
    <row r="88" spans="2:4">
      <c r="B88" s="184"/>
      <c r="C88" s="54" t="s">
        <v>933</v>
      </c>
      <c r="D88">
        <v>1</v>
      </c>
    </row>
    <row r="89" spans="2:4">
      <c r="B89" s="184"/>
      <c r="C89" s="54" t="s">
        <v>937</v>
      </c>
      <c r="D89">
        <v>1</v>
      </c>
    </row>
    <row r="90" spans="2:4">
      <c r="B90" s="184"/>
      <c r="C90" s="54" t="s">
        <v>950</v>
      </c>
      <c r="D90">
        <v>1</v>
      </c>
    </row>
    <row r="91" spans="2:4">
      <c r="B91" s="184"/>
      <c r="C91" s="54" t="s">
        <v>967</v>
      </c>
      <c r="D91">
        <v>1</v>
      </c>
    </row>
    <row r="92" spans="2:4">
      <c r="B92" s="184"/>
      <c r="C92" s="54" t="s">
        <v>974</v>
      </c>
      <c r="D92">
        <v>1</v>
      </c>
    </row>
    <row r="93" spans="2:4">
      <c r="B93" s="184"/>
      <c r="C93" s="54" t="s">
        <v>993</v>
      </c>
      <c r="D93">
        <v>1</v>
      </c>
    </row>
    <row r="94" spans="2:4">
      <c r="B94" s="184"/>
      <c r="C94" s="54" t="s">
        <v>914</v>
      </c>
      <c r="D94">
        <v>1</v>
      </c>
    </row>
    <row r="95" spans="2:4">
      <c r="B95" s="185"/>
      <c r="C95" s="54" t="s">
        <v>480</v>
      </c>
      <c r="D95">
        <v>1</v>
      </c>
    </row>
    <row r="96" spans="2:4">
      <c r="B96" s="185"/>
      <c r="C96" s="54" t="s">
        <v>451</v>
      </c>
      <c r="D96">
        <v>1</v>
      </c>
    </row>
    <row r="97" spans="2:4">
      <c r="B97" s="185"/>
      <c r="C97" s="54" t="s">
        <v>495</v>
      </c>
      <c r="D97">
        <v>1</v>
      </c>
    </row>
    <row r="98" spans="2:4">
      <c r="B98" s="185"/>
      <c r="C98" s="54" t="s">
        <v>484</v>
      </c>
      <c r="D98">
        <v>1</v>
      </c>
    </row>
    <row r="99" spans="2:4">
      <c r="B99" s="185"/>
      <c r="C99" s="56" t="s">
        <v>488</v>
      </c>
      <c r="D99" s="50">
        <v>3</v>
      </c>
    </row>
    <row r="100" spans="2:4">
      <c r="B100" s="185"/>
      <c r="C100" s="56" t="s">
        <v>492</v>
      </c>
      <c r="D100" s="50">
        <v>2</v>
      </c>
    </row>
    <row r="101" spans="2:4">
      <c r="B101" s="185"/>
      <c r="C101" s="54" t="s">
        <v>506</v>
      </c>
      <c r="D101">
        <v>1</v>
      </c>
    </row>
    <row r="102" spans="2:4">
      <c r="B102" s="185"/>
      <c r="C102" s="54" t="s">
        <v>502</v>
      </c>
      <c r="D102">
        <v>1</v>
      </c>
    </row>
    <row r="103" spans="2:4">
      <c r="B103" s="185"/>
      <c r="C103" s="54" t="s">
        <v>560</v>
      </c>
      <c r="D103">
        <v>1</v>
      </c>
    </row>
    <row r="104" spans="2:4">
      <c r="B104" s="185"/>
      <c r="C104" s="54" t="s">
        <v>519</v>
      </c>
      <c r="D104">
        <v>1</v>
      </c>
    </row>
    <row r="105" spans="2:4">
      <c r="B105" s="185"/>
      <c r="C105" s="54" t="s">
        <v>556</v>
      </c>
      <c r="D105">
        <v>1</v>
      </c>
    </row>
    <row r="106" spans="2:4">
      <c r="B106" s="185"/>
      <c r="C106" s="54" t="s">
        <v>552</v>
      </c>
      <c r="D106">
        <v>1</v>
      </c>
    </row>
    <row r="107" spans="2:4">
      <c r="B107" s="185"/>
      <c r="C107" s="54" t="s">
        <v>548</v>
      </c>
      <c r="D107">
        <v>1</v>
      </c>
    </row>
    <row r="108" spans="2:4">
      <c r="B108" s="186"/>
      <c r="C108" s="54" t="s">
        <v>288</v>
      </c>
      <c r="D108">
        <v>1</v>
      </c>
    </row>
    <row r="109" spans="2:4">
      <c r="B109" s="186"/>
      <c r="C109" s="54" t="s">
        <v>295</v>
      </c>
      <c r="D109">
        <v>1</v>
      </c>
    </row>
    <row r="110" spans="2:4">
      <c r="B110" s="186"/>
      <c r="C110" s="54" t="s">
        <v>299</v>
      </c>
      <c r="D110">
        <v>1</v>
      </c>
    </row>
    <row r="111" spans="2:4">
      <c r="B111" s="186"/>
      <c r="C111" s="54" t="s">
        <v>384</v>
      </c>
      <c r="D111">
        <v>1</v>
      </c>
    </row>
    <row r="112" spans="2:4">
      <c r="B112" s="186"/>
      <c r="C112" s="54" t="s">
        <v>388</v>
      </c>
      <c r="D112">
        <v>1</v>
      </c>
    </row>
    <row r="113" spans="2:4">
      <c r="B113" s="186"/>
      <c r="C113" s="54" t="s">
        <v>395</v>
      </c>
      <c r="D113">
        <v>1</v>
      </c>
    </row>
    <row r="114" spans="2:4">
      <c r="B114" s="186"/>
      <c r="C114" s="54" t="s">
        <v>403</v>
      </c>
      <c r="D114">
        <v>1</v>
      </c>
    </row>
    <row r="115" spans="2:4">
      <c r="B115" s="186"/>
      <c r="C115" s="56" t="s">
        <v>417</v>
      </c>
      <c r="D115" s="50">
        <v>2</v>
      </c>
    </row>
    <row r="116" spans="2:4">
      <c r="B116" s="186"/>
      <c r="C116" s="56" t="s">
        <v>421</v>
      </c>
      <c r="D116" s="50">
        <v>2</v>
      </c>
    </row>
    <row r="117" spans="2:4">
      <c r="B117" s="186"/>
      <c r="C117" s="56" t="s">
        <v>329</v>
      </c>
      <c r="D117" s="50">
        <v>2</v>
      </c>
    </row>
    <row r="118" spans="2:4">
      <c r="B118" s="186"/>
      <c r="C118" s="54" t="s">
        <v>353</v>
      </c>
      <c r="D118">
        <v>1</v>
      </c>
    </row>
    <row r="119" spans="2:4">
      <c r="B119" s="186"/>
      <c r="C119" s="56" t="s">
        <v>336</v>
      </c>
      <c r="D119" s="50">
        <v>2</v>
      </c>
    </row>
    <row r="120" spans="2:4">
      <c r="B120" s="186"/>
      <c r="C120" s="56" t="s">
        <v>340</v>
      </c>
      <c r="D120" s="50">
        <v>2</v>
      </c>
    </row>
    <row r="121" spans="2:4">
      <c r="B121" s="186"/>
      <c r="C121" s="54" t="s">
        <v>366</v>
      </c>
      <c r="D121">
        <v>1</v>
      </c>
    </row>
    <row r="122" spans="2:4">
      <c r="B122" s="186"/>
      <c r="C122" s="56" t="s">
        <v>370</v>
      </c>
      <c r="D122" s="50">
        <v>1</v>
      </c>
    </row>
    <row r="123" spans="2:4">
      <c r="B123" s="186"/>
      <c r="C123" s="56" t="s">
        <v>399</v>
      </c>
      <c r="D123" s="50">
        <v>1</v>
      </c>
    </row>
    <row r="124" spans="2:4">
      <c r="B124" s="184"/>
      <c r="C124" s="56" t="s">
        <v>686</v>
      </c>
      <c r="D124" s="50">
        <v>2</v>
      </c>
    </row>
    <row r="125" spans="2:4">
      <c r="B125" s="184"/>
      <c r="C125" s="54" t="s">
        <v>682</v>
      </c>
      <c r="D125">
        <v>1</v>
      </c>
    </row>
    <row r="126" spans="2:4">
      <c r="B126" s="184"/>
      <c r="C126" s="54" t="s">
        <v>723</v>
      </c>
      <c r="D126">
        <v>1</v>
      </c>
    </row>
    <row r="127" spans="2:4">
      <c r="B127" s="184"/>
      <c r="C127" s="54" t="s">
        <v>727</v>
      </c>
      <c r="D127">
        <v>1</v>
      </c>
    </row>
    <row r="128" spans="2:4">
      <c r="B128" s="184"/>
      <c r="C128" s="54" t="s">
        <v>731</v>
      </c>
      <c r="D128">
        <v>1</v>
      </c>
    </row>
    <row r="129" spans="2:4">
      <c r="B129" s="184"/>
      <c r="C129" s="54" t="s">
        <v>735</v>
      </c>
      <c r="D129">
        <v>1</v>
      </c>
    </row>
    <row r="130" spans="2:4">
      <c r="B130" s="184"/>
      <c r="C130" s="54" t="s">
        <v>693</v>
      </c>
      <c r="D130">
        <v>1</v>
      </c>
    </row>
    <row r="131" spans="2:4">
      <c r="B131" s="184"/>
      <c r="C131" s="56" t="s">
        <v>703</v>
      </c>
      <c r="D131" s="50">
        <v>1</v>
      </c>
    </row>
    <row r="132" spans="2:4">
      <c r="B132" s="184"/>
      <c r="C132" s="56" t="s">
        <v>739</v>
      </c>
      <c r="D132" s="50">
        <v>1</v>
      </c>
    </row>
    <row r="133" spans="2:4">
      <c r="B133" s="186"/>
      <c r="C133" s="54" t="s">
        <v>1536</v>
      </c>
      <c r="D133">
        <v>1</v>
      </c>
    </row>
    <row r="134" spans="2:4">
      <c r="B134" s="186"/>
      <c r="C134" s="54" t="s">
        <v>1546</v>
      </c>
      <c r="D134">
        <v>1</v>
      </c>
    </row>
    <row r="135" spans="2:4">
      <c r="B135" s="186"/>
      <c r="C135" s="54" t="s">
        <v>1564</v>
      </c>
      <c r="D135">
        <v>1</v>
      </c>
    </row>
    <row r="136" spans="2:4">
      <c r="B136" s="186"/>
      <c r="C136" s="54" t="s">
        <v>1571</v>
      </c>
      <c r="D136">
        <v>1</v>
      </c>
    </row>
    <row r="137" spans="2:4">
      <c r="B137" s="186"/>
      <c r="C137" s="56" t="s">
        <v>1575</v>
      </c>
      <c r="D137" s="50">
        <v>2</v>
      </c>
    </row>
    <row r="138" spans="2:4">
      <c r="B138" s="186"/>
      <c r="C138" s="54" t="s">
        <v>1579</v>
      </c>
      <c r="D138">
        <v>1</v>
      </c>
    </row>
    <row r="139" spans="2:4">
      <c r="B139" s="186"/>
      <c r="C139" s="54" t="s">
        <v>1589</v>
      </c>
      <c r="D139">
        <v>1</v>
      </c>
    </row>
    <row r="140" spans="2:4">
      <c r="B140" s="186"/>
      <c r="C140" s="54" t="s">
        <v>1553</v>
      </c>
      <c r="D140">
        <v>1</v>
      </c>
    </row>
    <row r="141" spans="2:4">
      <c r="B141" s="186"/>
      <c r="C141" s="54" t="s">
        <v>1593</v>
      </c>
      <c r="D141">
        <v>1</v>
      </c>
    </row>
    <row r="142" spans="2:4">
      <c r="C142" s="54" t="s">
        <v>1009</v>
      </c>
      <c r="D142">
        <v>1</v>
      </c>
    </row>
    <row r="143" spans="2:4">
      <c r="C143" s="54" t="s">
        <v>1036</v>
      </c>
      <c r="D143">
        <v>1</v>
      </c>
    </row>
    <row r="144" spans="2:4">
      <c r="C144" s="54" t="s">
        <v>1040</v>
      </c>
      <c r="D144">
        <v>1</v>
      </c>
    </row>
    <row r="145" spans="3:4">
      <c r="C145" s="54" t="s">
        <v>1054</v>
      </c>
      <c r="D145">
        <v>1</v>
      </c>
    </row>
    <row r="146" spans="3:4">
      <c r="C146" s="54" t="s">
        <v>1058</v>
      </c>
      <c r="D146">
        <v>1</v>
      </c>
    </row>
    <row r="147" spans="3:4">
      <c r="C147" s="54" t="s">
        <v>1070</v>
      </c>
      <c r="D147">
        <v>1</v>
      </c>
    </row>
    <row r="148" spans="3:4">
      <c r="C148" s="54" t="s">
        <v>1062</v>
      </c>
      <c r="D148">
        <v>1</v>
      </c>
    </row>
    <row r="149" spans="3:4">
      <c r="C149" s="54" t="s">
        <v>1131</v>
      </c>
      <c r="D149">
        <v>1</v>
      </c>
    </row>
    <row r="150" spans="3:4">
      <c r="C150" s="54" t="s">
        <v>1101</v>
      </c>
      <c r="D150">
        <v>1</v>
      </c>
    </row>
    <row r="151" spans="3:4">
      <c r="C151" s="54" t="s">
        <v>1013</v>
      </c>
      <c r="D151">
        <v>1</v>
      </c>
    </row>
    <row r="152" spans="3:4">
      <c r="C152" s="54" t="s">
        <v>1105</v>
      </c>
      <c r="D152">
        <v>1</v>
      </c>
    </row>
    <row r="153" spans="3:4">
      <c r="C153" s="54" t="s">
        <v>1109</v>
      </c>
      <c r="D153">
        <v>1</v>
      </c>
    </row>
    <row r="154" spans="3:4">
      <c r="C154" s="54" t="s">
        <v>1113</v>
      </c>
      <c r="D154">
        <v>1</v>
      </c>
    </row>
    <row r="155" spans="3:4">
      <c r="C155" s="54" t="s">
        <v>1117</v>
      </c>
      <c r="D155">
        <v>1</v>
      </c>
    </row>
    <row r="156" spans="3:4">
      <c r="C156" s="54" t="s">
        <v>1050</v>
      </c>
      <c r="D156">
        <v>1</v>
      </c>
    </row>
    <row r="157" spans="3:4">
      <c r="C157" s="54" t="s">
        <v>1124</v>
      </c>
      <c r="D157">
        <v>1</v>
      </c>
    </row>
    <row r="158" spans="3:4">
      <c r="C158" s="54" t="s">
        <v>1066</v>
      </c>
      <c r="D158">
        <v>1</v>
      </c>
    </row>
    <row r="159" spans="3:4">
      <c r="C159" s="54" t="s">
        <v>1074</v>
      </c>
      <c r="D159">
        <v>1</v>
      </c>
    </row>
    <row r="160" spans="3:4">
      <c r="C160" s="54" t="s">
        <v>1078</v>
      </c>
      <c r="D160">
        <v>1</v>
      </c>
    </row>
    <row r="161" spans="2:4">
      <c r="C161" s="54" t="s">
        <v>1138</v>
      </c>
      <c r="D161">
        <v>1</v>
      </c>
    </row>
    <row r="162" spans="2:4">
      <c r="C162" s="54" t="s">
        <v>21</v>
      </c>
      <c r="D162">
        <v>260</v>
      </c>
    </row>
    <row r="163" spans="2:4">
      <c r="B163" s="186"/>
      <c r="C163" s="54" t="s">
        <v>1614</v>
      </c>
      <c r="D163">
        <v>1</v>
      </c>
    </row>
    <row r="164" spans="2:4">
      <c r="B164" s="186"/>
      <c r="C164" s="54" t="s">
        <v>1621</v>
      </c>
      <c r="D164">
        <v>1</v>
      </c>
    </row>
    <row r="165" spans="2:4">
      <c r="B165" s="186"/>
      <c r="C165" s="54" t="s">
        <v>1651</v>
      </c>
      <c r="D165">
        <v>1</v>
      </c>
    </row>
    <row r="166" spans="2:4">
      <c r="B166" s="186"/>
      <c r="C166" s="56" t="s">
        <v>1664</v>
      </c>
      <c r="D166" s="50">
        <v>2</v>
      </c>
    </row>
    <row r="167" spans="2:4">
      <c r="B167" s="186"/>
      <c r="C167" s="54" t="s">
        <v>1695</v>
      </c>
      <c r="D167">
        <v>1</v>
      </c>
    </row>
    <row r="168" spans="2:4">
      <c r="B168" s="186"/>
      <c r="C168" s="54" t="s">
        <v>1668</v>
      </c>
      <c r="D168">
        <v>1</v>
      </c>
    </row>
    <row r="169" spans="2:4">
      <c r="B169" s="186"/>
      <c r="C169" s="54" t="s">
        <v>1702</v>
      </c>
      <c r="D169">
        <v>1</v>
      </c>
    </row>
    <row r="170" spans="2:4">
      <c r="B170" s="186"/>
      <c r="C170" s="54" t="s">
        <v>1709</v>
      </c>
      <c r="D170">
        <v>1</v>
      </c>
    </row>
    <row r="171" spans="2:4">
      <c r="B171" s="186"/>
      <c r="C171" s="56" t="s">
        <v>1640</v>
      </c>
      <c r="D171" s="50">
        <v>2</v>
      </c>
    </row>
    <row r="172" spans="2:4">
      <c r="B172" s="186"/>
      <c r="C172" s="54" t="s">
        <v>1713</v>
      </c>
      <c r="D172">
        <v>1</v>
      </c>
    </row>
    <row r="173" spans="2:4">
      <c r="C173" s="54" t="s">
        <v>598</v>
      </c>
      <c r="D173">
        <v>1</v>
      </c>
    </row>
    <row r="174" spans="2:4">
      <c r="C174" s="54" t="s">
        <v>602</v>
      </c>
      <c r="D174">
        <v>1</v>
      </c>
    </row>
    <row r="175" spans="2:4">
      <c r="C175" s="54" t="s">
        <v>611</v>
      </c>
      <c r="D175">
        <v>1</v>
      </c>
    </row>
    <row r="176" spans="2:4">
      <c r="C176" s="54" t="s">
        <v>646</v>
      </c>
      <c r="D176">
        <v>1</v>
      </c>
    </row>
    <row r="177" spans="3:4">
      <c r="C177" s="54" t="s">
        <v>628</v>
      </c>
      <c r="D177">
        <v>1</v>
      </c>
    </row>
    <row r="178" spans="3:4">
      <c r="C178" s="56" t="s">
        <v>635</v>
      </c>
      <c r="D178" s="50">
        <v>2</v>
      </c>
    </row>
    <row r="179" spans="3:4">
      <c r="C179" s="56" t="s">
        <v>639</v>
      </c>
      <c r="D179" s="50">
        <v>2</v>
      </c>
    </row>
    <row r="180" spans="3:4">
      <c r="C180" s="54" t="s">
        <v>652</v>
      </c>
      <c r="D180">
        <v>1</v>
      </c>
    </row>
    <row r="181" spans="3:4">
      <c r="C181" s="54" t="s">
        <v>666</v>
      </c>
      <c r="D181">
        <v>1</v>
      </c>
    </row>
    <row r="182" spans="3:4">
      <c r="C182" s="54" t="s">
        <v>659</v>
      </c>
      <c r="D182">
        <v>1</v>
      </c>
    </row>
    <row r="183" spans="3:4">
      <c r="C183" s="54" t="s">
        <v>1151</v>
      </c>
      <c r="D183">
        <v>1</v>
      </c>
    </row>
    <row r="184" spans="3:4">
      <c r="C184" s="54" t="s">
        <v>1184</v>
      </c>
      <c r="D184">
        <v>1</v>
      </c>
    </row>
    <row r="185" spans="3:4">
      <c r="C185" s="54" t="s">
        <v>1188</v>
      </c>
      <c r="D185">
        <v>1</v>
      </c>
    </row>
    <row r="186" spans="3:4">
      <c r="C186" s="54" t="s">
        <v>1192</v>
      </c>
      <c r="D186">
        <v>1</v>
      </c>
    </row>
    <row r="187" spans="3:4">
      <c r="C187" s="54" t="s">
        <v>1196</v>
      </c>
      <c r="D187">
        <v>1</v>
      </c>
    </row>
    <row r="188" spans="3:4">
      <c r="C188" s="54" t="s">
        <v>1222</v>
      </c>
      <c r="D188">
        <v>1</v>
      </c>
    </row>
    <row r="189" spans="3:4">
      <c r="C189" s="54" t="s">
        <v>1226</v>
      </c>
      <c r="D189">
        <v>1</v>
      </c>
    </row>
    <row r="190" spans="3:4">
      <c r="C190" s="54" t="s">
        <v>1230</v>
      </c>
      <c r="D190">
        <v>1</v>
      </c>
    </row>
    <row r="191" spans="3:4">
      <c r="C191" s="54" t="s">
        <v>1234</v>
      </c>
      <c r="D191">
        <v>1</v>
      </c>
    </row>
    <row r="192" spans="3:4">
      <c r="C192" s="54" t="s">
        <v>1158</v>
      </c>
      <c r="D192">
        <v>1</v>
      </c>
    </row>
    <row r="193" spans="3:4">
      <c r="C193" s="54" t="s">
        <v>1162</v>
      </c>
      <c r="D193">
        <v>1</v>
      </c>
    </row>
    <row r="194" spans="3:4">
      <c r="C194" s="54" t="s">
        <v>1204</v>
      </c>
      <c r="D194">
        <v>1</v>
      </c>
    </row>
    <row r="195" spans="3:4">
      <c r="C195" s="54" t="s">
        <v>1238</v>
      </c>
      <c r="D195">
        <v>1</v>
      </c>
    </row>
    <row r="196" spans="3:4">
      <c r="C196" s="54" t="s">
        <v>1242</v>
      </c>
      <c r="D196">
        <v>1</v>
      </c>
    </row>
    <row r="197" spans="3:4">
      <c r="C197" s="54" t="s">
        <v>1200</v>
      </c>
      <c r="D197">
        <v>1</v>
      </c>
    </row>
    <row r="198" spans="3:4">
      <c r="C198" s="54" t="s">
        <v>1211</v>
      </c>
      <c r="D198">
        <v>1</v>
      </c>
    </row>
    <row r="199" spans="3:4">
      <c r="C199" s="54" t="s">
        <v>1166</v>
      </c>
      <c r="D199">
        <v>1</v>
      </c>
    </row>
    <row r="200" spans="3:4">
      <c r="C200" s="54" t="s">
        <v>1170</v>
      </c>
      <c r="D200">
        <v>1</v>
      </c>
    </row>
    <row r="201" spans="3:4">
      <c r="C201" s="54" t="s">
        <v>2428</v>
      </c>
    </row>
    <row r="202" spans="3:4">
      <c r="C202" s="54" t="s">
        <v>312</v>
      </c>
      <c r="D202">
        <v>1</v>
      </c>
    </row>
    <row r="203" spans="3:4">
      <c r="C203" s="54" t="s">
        <v>2429</v>
      </c>
      <c r="D203">
        <v>478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6A5F-2266-49B0-ACF6-E8712DFBC722}">
  <dimension ref="A1:BN250"/>
  <sheetViews>
    <sheetView topLeftCell="AP1" zoomScale="55" zoomScaleNormal="55" workbookViewId="0">
      <selection activeCell="BG4" sqref="BG4"/>
    </sheetView>
  </sheetViews>
  <sheetFormatPr defaultColWidth="8.6640625" defaultRowHeight="24.6" customHeight="1"/>
  <cols>
    <col min="1" max="1" width="8.6640625" style="52"/>
    <col min="2" max="2" width="9.6640625" style="52" bestFit="1" customWidth="1"/>
    <col min="3" max="10" width="8.6640625" style="52"/>
    <col min="11" max="11" width="9.6640625" style="52" bestFit="1" customWidth="1"/>
    <col min="12" max="19" width="8.6640625" style="52"/>
    <col min="20" max="20" width="9.6640625" style="52" bestFit="1" customWidth="1"/>
    <col min="21" max="21" width="8.6640625" style="52"/>
    <col min="22" max="28" width="8.6640625" style="52" customWidth="1"/>
    <col min="29" max="29" width="33.6640625" style="52" customWidth="1"/>
    <col min="30" max="30" width="11.33203125" style="52" customWidth="1"/>
    <col min="31" max="31" width="11" style="52" customWidth="1"/>
    <col min="32" max="32" width="12.5546875" style="52" hidden="1" customWidth="1"/>
    <col min="33" max="33" width="11" style="52" hidden="1" customWidth="1"/>
    <col min="34" max="35" width="8.6640625" style="52" customWidth="1"/>
    <col min="36" max="36" width="8.6640625" style="52"/>
    <col min="37" max="37" width="36.33203125" style="52" customWidth="1"/>
    <col min="38" max="43" width="8.6640625" style="52"/>
    <col min="44" max="44" width="35.44140625" style="52" customWidth="1"/>
    <col min="45" max="45" width="12.44140625" style="52" customWidth="1"/>
    <col min="46" max="55" width="8.6640625" style="52"/>
    <col min="56" max="56" width="35.44140625" style="52" customWidth="1"/>
    <col min="57" max="57" width="12.44140625" style="52" customWidth="1"/>
    <col min="58" max="61" width="14.5546875" style="52" customWidth="1"/>
    <col min="62" max="62" width="8.6640625" style="52"/>
    <col min="63" max="66" width="16.5546875" style="52" customWidth="1"/>
    <col min="67" max="16384" width="8.6640625" style="52"/>
  </cols>
  <sheetData>
    <row r="1" spans="1:66" ht="24.6" customHeight="1" thickBot="1">
      <c r="A1" s="230" t="s">
        <v>2434</v>
      </c>
      <c r="B1" s="230"/>
      <c r="C1" s="230"/>
      <c r="AI1" s="57"/>
      <c r="AJ1" s="231" t="s">
        <v>2435</v>
      </c>
      <c r="AK1" s="231"/>
      <c r="AR1" s="144" t="s">
        <v>2436</v>
      </c>
      <c r="AS1" s="145"/>
      <c r="AT1" s="146"/>
      <c r="AU1" s="146"/>
      <c r="AV1" s="146"/>
      <c r="AW1" s="146"/>
      <c r="AX1" s="146"/>
      <c r="AY1" s="146"/>
      <c r="AZ1" s="146"/>
      <c r="BA1" s="146"/>
      <c r="BB1" s="147"/>
      <c r="BD1" s="144" t="s">
        <v>2437</v>
      </c>
      <c r="BE1" s="146"/>
      <c r="BF1" s="146"/>
      <c r="BG1" s="146"/>
      <c r="BH1" s="146"/>
      <c r="BI1" s="147"/>
      <c r="BK1" s="144" t="s">
        <v>2438</v>
      </c>
      <c r="BL1" s="166"/>
      <c r="BM1" s="166"/>
      <c r="BN1" s="167"/>
    </row>
    <row r="2" spans="1:66" ht="24.6" customHeight="1">
      <c r="B2" s="227" t="s">
        <v>2439</v>
      </c>
      <c r="C2" s="228"/>
      <c r="D2" s="228"/>
      <c r="E2" s="228"/>
      <c r="F2" s="228"/>
      <c r="G2" s="228"/>
      <c r="H2" s="228"/>
      <c r="I2" s="229"/>
      <c r="K2" s="227" t="s">
        <v>2440</v>
      </c>
      <c r="L2" s="228"/>
      <c r="M2" s="228"/>
      <c r="N2" s="228"/>
      <c r="O2" s="228"/>
      <c r="P2" s="228"/>
      <c r="Q2" s="228"/>
      <c r="R2" s="229"/>
      <c r="T2" s="227" t="s">
        <v>2441</v>
      </c>
      <c r="U2" s="228"/>
      <c r="V2" s="228"/>
      <c r="W2" s="228"/>
      <c r="X2" s="228"/>
      <c r="Y2" s="228"/>
      <c r="Z2" s="228"/>
      <c r="AA2" s="229"/>
      <c r="AC2" s="227" t="s">
        <v>2442</v>
      </c>
      <c r="AD2" s="228"/>
      <c r="AE2" s="229"/>
      <c r="AF2" s="80"/>
      <c r="AG2" s="80"/>
      <c r="AI2" s="57"/>
      <c r="AK2" s="254" t="s">
        <v>1723</v>
      </c>
      <c r="AL2" s="254" t="s">
        <v>3</v>
      </c>
      <c r="AM2" s="258" t="s">
        <v>2443</v>
      </c>
      <c r="AN2" s="258"/>
      <c r="AO2" s="258"/>
      <c r="AP2" s="258" t="s">
        <v>2444</v>
      </c>
      <c r="AR2" s="236" t="s">
        <v>1723</v>
      </c>
      <c r="AS2" s="237" t="s">
        <v>3</v>
      </c>
      <c r="AT2" s="238" t="s">
        <v>2433</v>
      </c>
      <c r="AU2" s="239"/>
      <c r="AV2" s="240"/>
      <c r="AW2" s="241" t="s">
        <v>2432</v>
      </c>
      <c r="AX2" s="242"/>
      <c r="AY2" s="243"/>
      <c r="AZ2" s="244" t="s">
        <v>2431</v>
      </c>
      <c r="BA2" s="245"/>
      <c r="BB2" s="246"/>
      <c r="BD2" s="236" t="s">
        <v>1723</v>
      </c>
      <c r="BE2" s="237" t="s">
        <v>3</v>
      </c>
      <c r="BF2" s="247" t="s">
        <v>2433</v>
      </c>
      <c r="BG2" s="249" t="s">
        <v>2432</v>
      </c>
      <c r="BH2" s="252" t="s">
        <v>2431</v>
      </c>
      <c r="BI2" s="232" t="s">
        <v>2445</v>
      </c>
      <c r="BK2" s="175" t="s">
        <v>2433</v>
      </c>
      <c r="BL2" s="177" t="s">
        <v>2432</v>
      </c>
      <c r="BM2" s="178" t="s">
        <v>2431</v>
      </c>
      <c r="BN2" s="163" t="s">
        <v>2445</v>
      </c>
    </row>
    <row r="3" spans="1:66" ht="24.6" customHeight="1">
      <c r="B3" s="45" t="s">
        <v>11</v>
      </c>
      <c r="C3" s="58">
        <v>0</v>
      </c>
      <c r="D3" s="59">
        <v>1</v>
      </c>
      <c r="E3" s="60">
        <v>2</v>
      </c>
      <c r="F3" s="61">
        <v>3</v>
      </c>
      <c r="G3" s="62">
        <v>4</v>
      </c>
      <c r="H3" s="63">
        <v>5</v>
      </c>
      <c r="I3" s="64" t="s">
        <v>2444</v>
      </c>
      <c r="K3" s="45" t="s">
        <v>11</v>
      </c>
      <c r="L3" s="58">
        <v>0</v>
      </c>
      <c r="M3" s="59">
        <v>1</v>
      </c>
      <c r="N3" s="60">
        <v>2</v>
      </c>
      <c r="O3" s="61">
        <v>3</v>
      </c>
      <c r="P3" s="62">
        <v>4</v>
      </c>
      <c r="Q3" s="63">
        <v>5</v>
      </c>
      <c r="R3" s="64" t="s">
        <v>2444</v>
      </c>
      <c r="T3" s="45" t="s">
        <v>11</v>
      </c>
      <c r="U3" s="58">
        <v>0</v>
      </c>
      <c r="V3" s="59">
        <v>1</v>
      </c>
      <c r="W3" s="60">
        <v>2</v>
      </c>
      <c r="X3" s="61">
        <v>3</v>
      </c>
      <c r="Y3" s="62">
        <v>4</v>
      </c>
      <c r="Z3" s="63">
        <v>5</v>
      </c>
      <c r="AA3" s="64" t="s">
        <v>2446</v>
      </c>
      <c r="AC3" s="65" t="s">
        <v>2</v>
      </c>
      <c r="AD3" s="66" t="s">
        <v>3</v>
      </c>
      <c r="AE3" s="67" t="s">
        <v>2447</v>
      </c>
      <c r="AF3" s="88" t="s">
        <v>2448</v>
      </c>
      <c r="AG3" s="81"/>
      <c r="AI3" s="57"/>
      <c r="AK3" s="254"/>
      <c r="AL3" s="254"/>
      <c r="AM3" s="141" t="s">
        <v>27</v>
      </c>
      <c r="AN3" s="142" t="s">
        <v>55</v>
      </c>
      <c r="AO3" s="143" t="s">
        <v>181</v>
      </c>
      <c r="AP3" s="258"/>
      <c r="AR3" s="236"/>
      <c r="AS3" s="237"/>
      <c r="AT3" s="141" t="s">
        <v>27</v>
      </c>
      <c r="AU3" s="142" t="s">
        <v>55</v>
      </c>
      <c r="AV3" s="143" t="s">
        <v>181</v>
      </c>
      <c r="AW3" s="141" t="s">
        <v>27</v>
      </c>
      <c r="AX3" s="142" t="s">
        <v>55</v>
      </c>
      <c r="AY3" s="143" t="s">
        <v>181</v>
      </c>
      <c r="AZ3" s="141" t="s">
        <v>27</v>
      </c>
      <c r="BA3" s="142" t="s">
        <v>55</v>
      </c>
      <c r="BB3" s="148" t="s">
        <v>181</v>
      </c>
      <c r="BD3" s="236"/>
      <c r="BE3" s="237"/>
      <c r="BF3" s="248"/>
      <c r="BG3" s="250"/>
      <c r="BH3" s="253"/>
      <c r="BI3" s="232"/>
      <c r="BK3" s="168">
        <f>IFERROR(BF37/191,0)</f>
        <v>0.67539267015706805</v>
      </c>
      <c r="BL3" s="164">
        <f>IFERROR(BG37/191,0)</f>
        <v>0.11518324607329843</v>
      </c>
      <c r="BM3" s="164">
        <f>IFERROR(BH37/191,0)</f>
        <v>0.20942408376963351</v>
      </c>
      <c r="BN3" s="165">
        <f>IFERROR(BM3,0)</f>
        <v>0.20942408376963351</v>
      </c>
    </row>
    <row r="4" spans="1:66" ht="24.6" customHeight="1" thickBot="1">
      <c r="B4" s="42" t="s">
        <v>17</v>
      </c>
      <c r="D4" s="36">
        <f>COUNTIFS(Master!$C$5:$C$542, Calculation!$B4, Master!$E$5:$E$542, Calculation!D$3)</f>
        <v>1</v>
      </c>
      <c r="E4" s="36">
        <f>COUNTIFS(Master!$C$5:$C$542, Calculation!$B4, Master!$E$5:$E$542, Calculation!E$3)</f>
        <v>3</v>
      </c>
      <c r="F4" s="36">
        <f>COUNTIFS(Master!$C$5:$C$542, Calculation!$B4, Master!$E$5:$E$542, Calculation!F$3)</f>
        <v>2</v>
      </c>
      <c r="G4" s="36">
        <f>COUNTIFS(Master!$C$5:$C$542, Calculation!$B4, Master!$E$5:$E$542, Calculation!G$3)</f>
        <v>1</v>
      </c>
      <c r="H4" s="36">
        <f>COUNTIFS(Master!$C$5:$C$542, Calculation!$B4, Master!$E$5:$E$542, Calculation!H$3)</f>
        <v>2</v>
      </c>
      <c r="I4" s="68">
        <f>SUM(D4:H4)</f>
        <v>9</v>
      </c>
      <c r="K4" s="45" t="s">
        <v>17</v>
      </c>
      <c r="L4" s="37"/>
      <c r="M4" s="36">
        <f>COUNTIFS(Master!$C$5:$C$542, Calculation!$K4, Master!$E$5:$E$542, Calculation!M$3, Master!$L$5:$L$542, "Yes" )</f>
        <v>1</v>
      </c>
      <c r="N4" s="36">
        <f>COUNTIFS(Master!$C$5:$C$542, Calculation!$K4, Master!$E$5:$E$542, Calculation!N$3, Master!$L$5:$L$542, "Yes" )</f>
        <v>3</v>
      </c>
      <c r="O4" s="36">
        <f>COUNTIFS(Master!$C$5:$C$542, Calculation!$K4, Master!$E$5:$E$542, Calculation!O$3, Master!$L$5:$L$542, "Yes" )</f>
        <v>1</v>
      </c>
      <c r="P4" s="36">
        <f>COUNTIFS(Master!$C$5:$C$542, Calculation!$K4, Master!$E$5:$E$542, Calculation!P$3, Master!$L$5:$L$542, "Yes" )</f>
        <v>0</v>
      </c>
      <c r="Q4" s="36">
        <f>COUNTIFS(Master!$C$5:$C$542, Calculation!$K4, Master!$E$5:$E$542, Calculation!Q$3, Master!$L$5:$L$542, "Yes" )</f>
        <v>0</v>
      </c>
      <c r="R4" s="68">
        <f>SUM(M4:Q4)</f>
        <v>5</v>
      </c>
      <c r="T4" s="135" t="s">
        <v>17</v>
      </c>
      <c r="V4" s="134">
        <f>M4/D4</f>
        <v>1</v>
      </c>
      <c r="W4" s="134">
        <f t="shared" ref="W4:Z4" si="0">N4/E4</f>
        <v>1</v>
      </c>
      <c r="X4" s="134">
        <f t="shared" si="0"/>
        <v>0.5</v>
      </c>
      <c r="Y4" s="134">
        <f t="shared" si="0"/>
        <v>0</v>
      </c>
      <c r="Z4" s="134">
        <f t="shared" si="0"/>
        <v>0</v>
      </c>
      <c r="AA4" s="68">
        <f>IF(V4=1,IF(W4=1,IF(X4=1,IF(Y4=1,IF(Z4=1,5,4),3),2),1),0)</f>
        <v>2</v>
      </c>
      <c r="AC4" s="119" t="s">
        <v>443</v>
      </c>
      <c r="AD4" s="36" t="s">
        <v>444</v>
      </c>
      <c r="AE4" s="120">
        <v>0.1193</v>
      </c>
      <c r="AF4" s="79">
        <f>$AE4+$AG$14</f>
        <v>0.13358571428571428</v>
      </c>
      <c r="AG4" s="79"/>
      <c r="AI4" s="57"/>
      <c r="AK4" s="69" t="s">
        <v>15</v>
      </c>
      <c r="AL4" s="70" t="s">
        <v>16</v>
      </c>
      <c r="AM4" s="71">
        <v>18</v>
      </c>
      <c r="AN4" s="71">
        <v>9</v>
      </c>
      <c r="AO4" s="71">
        <v>1</v>
      </c>
      <c r="AP4" s="72">
        <v>28</v>
      </c>
      <c r="AR4" s="149" t="s">
        <v>15</v>
      </c>
      <c r="AS4" s="70" t="s">
        <v>16</v>
      </c>
      <c r="AT4" s="71">
        <f>COUNTIFS('NDMO Specs. Overview'!$B$1:$B$194,$AS4&amp;".*", 'NDMO Specs. Overview'!$E$1:$E$194, Calculation!AT$3, 'NDMO Specs. Overview'!$F$1:$F$194, Calculation!$AT$2)</f>
        <v>0</v>
      </c>
      <c r="AU4" s="71">
        <f>COUNTIFS('NDMO Specs. Overview'!$B$1:$B$194,$AS4&amp;".*", 'NDMO Specs. Overview'!$E$1:$E$194, Calculation!AU$3, 'NDMO Specs. Overview'!$F$1:$F$194, Calculation!$AT$2)</f>
        <v>3</v>
      </c>
      <c r="AV4" s="71">
        <f>COUNTIFS('NDMO Specs. Overview'!$B$1:$B$194,$AS4&amp;".*", 'NDMO Specs. Overview'!$E$1:$E$194, Calculation!AV$3, 'NDMO Specs. Overview'!$F$1:$F$194, Calculation!$AT$2)</f>
        <v>0</v>
      </c>
      <c r="AW4" s="71">
        <f>COUNTIFS('NDMO Specs. Overview'!$B$1:$B$194,$AS4&amp;".*", 'NDMO Specs. Overview'!$E$1:$E$194, Calculation!AW$3, 'NDMO Specs. Overview'!$F$1:$F$194, $AW$2)</f>
        <v>6</v>
      </c>
      <c r="AX4" s="71">
        <f>COUNTIFS('NDMO Specs. Overview'!$B$1:$B$194,$AS4&amp;".*", 'NDMO Specs. Overview'!$E$1:$E$194, Calculation!AX$3, 'NDMO Specs. Overview'!$F$1:$F$194, $AW$2)</f>
        <v>4</v>
      </c>
      <c r="AY4" s="71">
        <f>COUNTIFS('NDMO Specs. Overview'!$B$1:$B$194,$AS4&amp;".*", 'NDMO Specs. Overview'!$E$1:$E$194, Calculation!AY$3, 'NDMO Specs. Overview'!$F$1:$F$194, $AW$2)</f>
        <v>1</v>
      </c>
      <c r="AZ4" s="71">
        <f>COUNTIFS('NDMO Specs. Overview'!$B$1:$B$194,$AS4&amp;".*", 'NDMO Specs. Overview'!$E$1:$E$194, Calculation!AZ$3, 'NDMO Specs. Overview'!$F$1:$F$194, $AZ$2)</f>
        <v>12</v>
      </c>
      <c r="BA4" s="71">
        <f>COUNTIFS('NDMO Specs. Overview'!$B$1:$B$194,$AS4&amp;".*", 'NDMO Specs. Overview'!$E$1:$E$194, Calculation!BA$3, 'NDMO Specs. Overview'!$F$1:$F$194, $AZ$2)</f>
        <v>2</v>
      </c>
      <c r="BB4" s="150">
        <f>COUNTIFS('NDMO Specs. Overview'!$B$1:$B$194,$AS4&amp;".*", 'NDMO Specs. Overview'!$E$1:$E$194, Calculation!BB$3, 'NDMO Specs. Overview'!$F$1:$F$194, $AZ$2)</f>
        <v>0</v>
      </c>
      <c r="BD4" s="149" t="s">
        <v>15</v>
      </c>
      <c r="BE4" s="70" t="s">
        <v>16</v>
      </c>
      <c r="BF4" s="85">
        <f t="shared" ref="BF4:BF17" si="1">ROUND(SUM(AT4:AV4)/SUM($AT4:$BB4),2)</f>
        <v>0.11</v>
      </c>
      <c r="BG4" s="85">
        <f>ROUND(SUM(AW4:AY4)/SUM($AT4:$BB4),2)</f>
        <v>0.39</v>
      </c>
      <c r="BH4" s="85">
        <f>ROUND(SUM(AZ4:BB4)/SUM($AT4:$BB4),2)</f>
        <v>0.5</v>
      </c>
      <c r="BI4" s="153">
        <f>ROUND(BH4,2)</f>
        <v>0.5</v>
      </c>
      <c r="BK4" s="169"/>
      <c r="BL4" s="170"/>
      <c r="BM4" s="170"/>
      <c r="BN4" s="171"/>
    </row>
    <row r="5" spans="1:66" ht="24.6" customHeight="1">
      <c r="B5" s="42" t="s">
        <v>62</v>
      </c>
      <c r="D5" s="36">
        <f>COUNTIFS(Master!$C$5:$C$542, Calculation!$B5, Master!$E$5:$E$542, Calculation!D$3)</f>
        <v>1</v>
      </c>
      <c r="E5" s="36">
        <f>COUNTIFS(Master!$C$5:$C$542, Calculation!$B5, Master!$E$5:$E$542, Calculation!E$3)</f>
        <v>1</v>
      </c>
      <c r="F5" s="36">
        <f>COUNTIFS(Master!$C$5:$C$542, Calculation!$B5, Master!$E$5:$E$542, Calculation!F$3)</f>
        <v>3</v>
      </c>
      <c r="G5" s="36">
        <f>COUNTIFS(Master!$C$5:$C$542, Calculation!$B5, Master!$E$5:$E$542, Calculation!G$3)</f>
        <v>3</v>
      </c>
      <c r="H5" s="36">
        <f>COUNTIFS(Master!$C$5:$C$542, Calculation!$B5, Master!$E$5:$E$542, Calculation!H$3)</f>
        <v>1</v>
      </c>
      <c r="I5" s="68">
        <f t="shared" ref="I5:I39" si="2">SUM(D5:H5)</f>
        <v>9</v>
      </c>
      <c r="K5" s="45" t="s">
        <v>62</v>
      </c>
      <c r="L5" s="37"/>
      <c r="M5" s="36">
        <f>COUNTIFS(Master!$C$5:$C$542, Calculation!$K5, Master!$E$5:$E$542, Calculation!M$3, Master!$L$5:$L$542, "Yes" )</f>
        <v>1</v>
      </c>
      <c r="N5" s="36">
        <f>COUNTIFS(Master!$C$5:$C$542, Calculation!$K5, Master!$E$5:$E$542, Calculation!N$3, Master!$L$5:$L$542, "Yes" )</f>
        <v>0</v>
      </c>
      <c r="O5" s="36">
        <f>COUNTIFS(Master!$C$5:$C$542, Calculation!$K5, Master!$E$5:$E$542, Calculation!O$3, Master!$L$5:$L$542, "Yes" )</f>
        <v>0</v>
      </c>
      <c r="P5" s="36">
        <f>COUNTIFS(Master!$C$5:$C$542, Calculation!$K5, Master!$E$5:$E$542, Calculation!P$3, Master!$L$5:$L$542, "Yes" )</f>
        <v>2</v>
      </c>
      <c r="Q5" s="36">
        <f>COUNTIFS(Master!$C$5:$C$542, Calculation!$K5, Master!$E$5:$E$542, Calculation!Q$3, Master!$L$5:$L$542, "Yes" )</f>
        <v>0</v>
      </c>
      <c r="R5" s="68">
        <f t="shared" ref="R5:R45" si="3">SUM(M5:Q5)</f>
        <v>3</v>
      </c>
      <c r="T5" s="135" t="s">
        <v>62</v>
      </c>
      <c r="V5" s="134">
        <f t="shared" ref="V5:V39" si="4">M5/D5</f>
        <v>1</v>
      </c>
      <c r="W5" s="134">
        <f t="shared" ref="W5:W45" si="5">N5/E5</f>
        <v>0</v>
      </c>
      <c r="X5" s="134">
        <f t="shared" ref="X5:X45" si="6">O5/F5</f>
        <v>0</v>
      </c>
      <c r="Y5" s="134">
        <f t="shared" ref="Y5:Y45" si="7">P5/G5</f>
        <v>0.66666666666666663</v>
      </c>
      <c r="Z5" s="134">
        <f t="shared" ref="Z5:Z45" si="8">Q5/H5</f>
        <v>0</v>
      </c>
      <c r="AA5" s="68">
        <f t="shared" ref="AA5:AA39" si="9">IF(V5=1,IF(W5=1,IF(X5=1,IF(Y5=1,IF(Z5=1,5,4),3),2),1),0)</f>
        <v>1</v>
      </c>
      <c r="AC5" s="119" t="s">
        <v>15</v>
      </c>
      <c r="AD5" s="36" t="s">
        <v>16</v>
      </c>
      <c r="AE5" s="120">
        <v>0.11749999999999999</v>
      </c>
      <c r="AF5" s="79">
        <f>$AE5+$AG$14</f>
        <v>0.13178571428571428</v>
      </c>
      <c r="AG5" s="79"/>
      <c r="AI5" s="57"/>
      <c r="AK5" s="69" t="s">
        <v>2449</v>
      </c>
      <c r="AL5" s="70" t="s">
        <v>1002</v>
      </c>
      <c r="AM5" s="71">
        <v>5</v>
      </c>
      <c r="AN5" s="71">
        <v>13</v>
      </c>
      <c r="AO5" s="71">
        <v>2</v>
      </c>
      <c r="AP5" s="72">
        <v>20</v>
      </c>
      <c r="AR5" s="149" t="s">
        <v>2449</v>
      </c>
      <c r="AS5" s="70" t="s">
        <v>1002</v>
      </c>
      <c r="AT5" s="71">
        <f>COUNTIFS('NDMO Specs. Overview'!$B$1:$B$194,$AS5&amp;".*", 'NDMO Specs. Overview'!$E$1:$E$194, Calculation!AT$3, 'NDMO Specs. Overview'!$F$1:$F$194, Calculation!$AT$2)</f>
        <v>4</v>
      </c>
      <c r="AU5" s="71">
        <f>COUNTIFS('NDMO Specs. Overview'!$B$1:$B$194,$AS5&amp;".*", 'NDMO Specs. Overview'!$E$1:$E$194, Calculation!AU$3, 'NDMO Specs. Overview'!$F$1:$F$194, Calculation!$AT$2)</f>
        <v>13</v>
      </c>
      <c r="AV5" s="71">
        <f>COUNTIFS('NDMO Specs. Overview'!$B$1:$B$194,$AS5&amp;".*", 'NDMO Specs. Overview'!$E$1:$E$194, Calculation!AV$3, 'NDMO Specs. Overview'!$F$1:$F$194, Calculation!$AT$2)</f>
        <v>2</v>
      </c>
      <c r="AW5" s="71">
        <f>COUNTIFS('NDMO Specs. Overview'!$B$1:$B$194,$AS5&amp;".*", 'NDMO Specs. Overview'!$E$1:$E$194, Calculation!AW$3, 'NDMO Specs. Overview'!$F$1:$F$194, $AW$2)</f>
        <v>0</v>
      </c>
      <c r="AX5" s="71">
        <f>COUNTIFS('NDMO Specs. Overview'!$B$1:$B$194,$AS5&amp;".*", 'NDMO Specs. Overview'!$E$1:$E$194, Calculation!AX$3, 'NDMO Specs. Overview'!$F$1:$F$194, $AW$2)</f>
        <v>0</v>
      </c>
      <c r="AY5" s="71">
        <f>COUNTIFS('NDMO Specs. Overview'!$B$1:$B$194,$AS5&amp;".*", 'NDMO Specs. Overview'!$E$1:$E$194, Calculation!AY$3, 'NDMO Specs. Overview'!$F$1:$F$194, $AW$2)</f>
        <v>0</v>
      </c>
      <c r="AZ5" s="71">
        <f>COUNTIFS('NDMO Specs. Overview'!$B$1:$B$194,$AS5&amp;".*", 'NDMO Specs. Overview'!$E$1:$E$194, Calculation!AZ$3, 'NDMO Specs. Overview'!$F$1:$F$194, $AZ$2)</f>
        <v>1</v>
      </c>
      <c r="BA5" s="71">
        <f>COUNTIFS('NDMO Specs. Overview'!$B$1:$B$194,$AS5&amp;".*", 'NDMO Specs. Overview'!$E$1:$E$194, Calculation!BA$3, 'NDMO Specs. Overview'!$F$1:$F$194, $AZ$2)</f>
        <v>0</v>
      </c>
      <c r="BB5" s="150">
        <f>COUNTIFS('NDMO Specs. Overview'!$B$1:$B$194,$AS5&amp;".*", 'NDMO Specs. Overview'!$E$1:$E$194, Calculation!BB$3, 'NDMO Specs. Overview'!$F$1:$F$194, $AZ$2)</f>
        <v>0</v>
      </c>
      <c r="BD5" s="149" t="s">
        <v>2449</v>
      </c>
      <c r="BE5" s="70" t="s">
        <v>1002</v>
      </c>
      <c r="BF5" s="85">
        <f t="shared" si="1"/>
        <v>0.95</v>
      </c>
      <c r="BG5" s="85">
        <f t="shared" ref="BG5:BG17" si="10">ROUND(SUM(AW5:AY5)/SUM($AT5:$BB5),2)</f>
        <v>0</v>
      </c>
      <c r="BH5" s="85">
        <f t="shared" ref="BH5:BH17" si="11">ROUND(SUM(AZ5:BB5)/SUM($AT5:$BB5),2)</f>
        <v>0.05</v>
      </c>
      <c r="BI5" s="153">
        <f>ROUND(BH5,2)</f>
        <v>0.05</v>
      </c>
    </row>
    <row r="6" spans="1:66" ht="24.6" customHeight="1">
      <c r="B6" s="42" t="s">
        <v>96</v>
      </c>
      <c r="D6" s="36">
        <f>COUNTIFS(Master!$C$5:$C$542, Calculation!$B6, Master!$E$5:$E$542, Calculation!D$3)</f>
        <v>3</v>
      </c>
      <c r="E6" s="36">
        <f>COUNTIFS(Master!$C$5:$C$542, Calculation!$B6, Master!$E$5:$E$542, Calculation!E$3)</f>
        <v>4</v>
      </c>
      <c r="F6" s="36">
        <f>COUNTIFS(Master!$C$5:$C$542, Calculation!$B6, Master!$E$5:$E$542, Calculation!F$3)</f>
        <v>6</v>
      </c>
      <c r="G6" s="36">
        <f>COUNTIFS(Master!$C$5:$C$542, Calculation!$B6, Master!$E$5:$E$542, Calculation!G$3)</f>
        <v>1</v>
      </c>
      <c r="H6" s="36">
        <f>COUNTIFS(Master!$C$5:$C$542, Calculation!$B6, Master!$E$5:$E$542, Calculation!H$3)</f>
        <v>1</v>
      </c>
      <c r="I6" s="68">
        <f t="shared" si="2"/>
        <v>15</v>
      </c>
      <c r="K6" s="45" t="s">
        <v>96</v>
      </c>
      <c r="L6" s="37"/>
      <c r="M6" s="36">
        <f>COUNTIFS(Master!$C$5:$C$542, Calculation!$K6, Master!$E$5:$E$542, Calculation!M$3, Master!$L$5:$L$542, "Yes" )</f>
        <v>2</v>
      </c>
      <c r="N6" s="36">
        <f>COUNTIFS(Master!$C$5:$C$542, Calculation!$K6, Master!$E$5:$E$542, Calculation!N$3, Master!$L$5:$L$542, "Yes" )</f>
        <v>4</v>
      </c>
      <c r="O6" s="36">
        <f>COUNTIFS(Master!$C$5:$C$542, Calculation!$K6, Master!$E$5:$E$542, Calculation!O$3, Master!$L$5:$L$542, "Yes" )</f>
        <v>1</v>
      </c>
      <c r="P6" s="36">
        <f>COUNTIFS(Master!$C$5:$C$542, Calculation!$K6, Master!$E$5:$E$542, Calculation!P$3, Master!$L$5:$L$542, "Yes" )</f>
        <v>0</v>
      </c>
      <c r="Q6" s="36">
        <f>COUNTIFS(Master!$C$5:$C$542, Calculation!$K6, Master!$E$5:$E$542, Calculation!Q$3, Master!$L$5:$L$542, "Yes" )</f>
        <v>0</v>
      </c>
      <c r="R6" s="68">
        <f t="shared" si="3"/>
        <v>7</v>
      </c>
      <c r="T6" s="135" t="s">
        <v>96</v>
      </c>
      <c r="V6" s="134">
        <f t="shared" si="4"/>
        <v>0.66666666666666663</v>
      </c>
      <c r="W6" s="134">
        <f t="shared" si="5"/>
        <v>1</v>
      </c>
      <c r="X6" s="134">
        <f t="shared" si="6"/>
        <v>0.16666666666666666</v>
      </c>
      <c r="Y6" s="134">
        <f t="shared" si="7"/>
        <v>0</v>
      </c>
      <c r="Z6" s="134">
        <f t="shared" si="8"/>
        <v>0</v>
      </c>
      <c r="AA6" s="68">
        <f t="shared" si="9"/>
        <v>0</v>
      </c>
      <c r="AC6" s="119" t="s">
        <v>2430</v>
      </c>
      <c r="AD6" s="36" t="s">
        <v>1002</v>
      </c>
      <c r="AE6" s="120">
        <v>0.10879999999999999</v>
      </c>
      <c r="AF6" s="79">
        <f>$AE6+$AG$14</f>
        <v>0.12308571428571428</v>
      </c>
      <c r="AG6" s="79"/>
      <c r="AI6" s="57"/>
      <c r="AK6" s="69" t="s">
        <v>443</v>
      </c>
      <c r="AL6" s="70" t="s">
        <v>444</v>
      </c>
      <c r="AM6" s="71">
        <v>3</v>
      </c>
      <c r="AN6" s="71">
        <v>8</v>
      </c>
      <c r="AO6" s="71">
        <v>2</v>
      </c>
      <c r="AP6" s="72">
        <v>13</v>
      </c>
      <c r="AR6" s="149" t="s">
        <v>443</v>
      </c>
      <c r="AS6" s="70" t="s">
        <v>444</v>
      </c>
      <c r="AT6" s="71">
        <f>COUNTIFS('NDMO Specs. Overview'!$B$1:$B$194,$AS6&amp;".*", 'NDMO Specs. Overview'!$E$1:$E$194, Calculation!AT$3, 'NDMO Specs. Overview'!$F$1:$F$194, Calculation!$AT$2)</f>
        <v>2</v>
      </c>
      <c r="AU6" s="71">
        <f>COUNTIFS('NDMO Specs. Overview'!$B$1:$B$194,$AS6&amp;".*", 'NDMO Specs. Overview'!$E$1:$E$194, Calculation!AU$3, 'NDMO Specs. Overview'!$F$1:$F$194, Calculation!$AT$2)</f>
        <v>8</v>
      </c>
      <c r="AV6" s="71">
        <f>COUNTIFS('NDMO Specs. Overview'!$B$1:$B$194,$AS6&amp;".*", 'NDMO Specs. Overview'!$E$1:$E$194, Calculation!AV$3, 'NDMO Specs. Overview'!$F$1:$F$194, Calculation!$AT$2)</f>
        <v>2</v>
      </c>
      <c r="AW6" s="71">
        <f>COUNTIFS('NDMO Specs. Overview'!$B$1:$B$194,$AS6&amp;".*", 'NDMO Specs. Overview'!$E$1:$E$194, Calculation!AW$3, 'NDMO Specs. Overview'!$F$1:$F$194, $AW$2)</f>
        <v>0</v>
      </c>
      <c r="AX6" s="71">
        <f>COUNTIFS('NDMO Specs. Overview'!$B$1:$B$194,$AS6&amp;".*", 'NDMO Specs. Overview'!$E$1:$E$194, Calculation!AX$3, 'NDMO Specs. Overview'!$F$1:$F$194, $AW$2)</f>
        <v>0</v>
      </c>
      <c r="AY6" s="71">
        <f>COUNTIFS('NDMO Specs. Overview'!$B$1:$B$194,$AS6&amp;".*", 'NDMO Specs. Overview'!$E$1:$E$194, Calculation!AY$3, 'NDMO Specs. Overview'!$F$1:$F$194, $AW$2)</f>
        <v>0</v>
      </c>
      <c r="AZ6" s="71">
        <f>COUNTIFS('NDMO Specs. Overview'!$B$1:$B$194,$AS6&amp;".*", 'NDMO Specs. Overview'!$E$1:$E$194, Calculation!AZ$3, 'NDMO Specs. Overview'!$F$1:$F$194, $AZ$2)</f>
        <v>1</v>
      </c>
      <c r="BA6" s="71">
        <f>COUNTIFS('NDMO Specs. Overview'!$B$1:$B$194,$AS6&amp;".*", 'NDMO Specs. Overview'!$E$1:$E$194, Calculation!BA$3, 'NDMO Specs. Overview'!$F$1:$F$194, $AZ$2)</f>
        <v>0</v>
      </c>
      <c r="BB6" s="150">
        <f>COUNTIFS('NDMO Specs. Overview'!$B$1:$B$194,$AS6&amp;".*", 'NDMO Specs. Overview'!$E$1:$E$194, Calculation!BB$3, 'NDMO Specs. Overview'!$F$1:$F$194, $AZ$2)</f>
        <v>0</v>
      </c>
      <c r="BD6" s="149" t="s">
        <v>443</v>
      </c>
      <c r="BE6" s="70" t="s">
        <v>444</v>
      </c>
      <c r="BF6" s="85">
        <f t="shared" si="1"/>
        <v>0.92</v>
      </c>
      <c r="BG6" s="85">
        <f t="shared" si="10"/>
        <v>0</v>
      </c>
      <c r="BH6" s="85">
        <f t="shared" si="11"/>
        <v>0.08</v>
      </c>
      <c r="BI6" s="153">
        <f>ROUND(BH6,2)</f>
        <v>0.08</v>
      </c>
    </row>
    <row r="7" spans="1:66" ht="24.6" customHeight="1">
      <c r="B7" s="42" t="s">
        <v>154</v>
      </c>
      <c r="D7" s="36">
        <f>COUNTIFS(Master!$C$5:$C$542, Calculation!$B7, Master!$E$5:$E$542, Calculation!D$3)</f>
        <v>2</v>
      </c>
      <c r="E7" s="36">
        <f>COUNTIFS(Master!$C$5:$C$542, Calculation!$B7, Master!$E$5:$E$542, Calculation!E$3)</f>
        <v>1</v>
      </c>
      <c r="F7" s="36">
        <f>COUNTIFS(Master!$C$5:$C$542, Calculation!$B7, Master!$E$5:$E$542, Calculation!F$3)</f>
        <v>6</v>
      </c>
      <c r="G7" s="36">
        <f>COUNTIFS(Master!$C$5:$C$542, Calculation!$B7, Master!$E$5:$E$542, Calculation!G$3)</f>
        <v>1</v>
      </c>
      <c r="H7" s="36">
        <f>COUNTIFS(Master!$C$5:$C$542, Calculation!$B7, Master!$E$5:$E$542, Calculation!H$3)</f>
        <v>1</v>
      </c>
      <c r="I7" s="68">
        <f t="shared" si="2"/>
        <v>11</v>
      </c>
      <c r="K7" s="45" t="s">
        <v>154</v>
      </c>
      <c r="L7" s="37"/>
      <c r="M7" s="36">
        <f>COUNTIFS(Master!$C$5:$C$542, Calculation!$K7, Master!$E$5:$E$542, Calculation!M$3, Master!$L$5:$L$542, "Yes" )</f>
        <v>1</v>
      </c>
      <c r="N7" s="36">
        <f>COUNTIFS(Master!$C$5:$C$542, Calculation!$K7, Master!$E$5:$E$542, Calculation!N$3, Master!$L$5:$L$542, "Yes" )</f>
        <v>0</v>
      </c>
      <c r="O7" s="36">
        <f>COUNTIFS(Master!$C$5:$C$542, Calculation!$K7, Master!$E$5:$E$542, Calculation!O$3, Master!$L$5:$L$542, "Yes" )</f>
        <v>2</v>
      </c>
      <c r="P7" s="36">
        <f>COUNTIFS(Master!$C$5:$C$542, Calculation!$K7, Master!$E$5:$E$542, Calculation!P$3, Master!$L$5:$L$542, "Yes" )</f>
        <v>0</v>
      </c>
      <c r="Q7" s="36">
        <f>COUNTIFS(Master!$C$5:$C$542, Calculation!$K7, Master!$E$5:$E$542, Calculation!Q$3, Master!$L$5:$L$542, "Yes" )</f>
        <v>0</v>
      </c>
      <c r="R7" s="68">
        <f t="shared" si="3"/>
        <v>3</v>
      </c>
      <c r="T7" s="135" t="s">
        <v>154</v>
      </c>
      <c r="V7" s="134">
        <f t="shared" si="4"/>
        <v>0.5</v>
      </c>
      <c r="W7" s="134">
        <f t="shared" si="5"/>
        <v>0</v>
      </c>
      <c r="X7" s="134">
        <f t="shared" si="6"/>
        <v>0.33333333333333331</v>
      </c>
      <c r="Y7" s="134">
        <f t="shared" si="7"/>
        <v>0</v>
      </c>
      <c r="Z7" s="134">
        <f t="shared" si="8"/>
        <v>0</v>
      </c>
      <c r="AA7" s="68">
        <f t="shared" si="9"/>
        <v>0</v>
      </c>
      <c r="AC7" s="119" t="s">
        <v>2021</v>
      </c>
      <c r="AD7" s="36" t="s">
        <v>591</v>
      </c>
      <c r="AE7" s="120">
        <v>9.2999999999999999E-2</v>
      </c>
      <c r="AF7" s="79">
        <f>$AE7+$AG$14</f>
        <v>0.10728571428571429</v>
      </c>
      <c r="AG7" s="79"/>
      <c r="AI7" s="57"/>
      <c r="AK7" s="69" t="s">
        <v>866</v>
      </c>
      <c r="AL7" s="70" t="s">
        <v>867</v>
      </c>
      <c r="AM7" s="71">
        <v>3</v>
      </c>
      <c r="AN7" s="71">
        <v>10</v>
      </c>
      <c r="AO7" s="71">
        <v>1</v>
      </c>
      <c r="AP7" s="72">
        <v>14</v>
      </c>
      <c r="AR7" s="149" t="s">
        <v>866</v>
      </c>
      <c r="AS7" s="70" t="s">
        <v>867</v>
      </c>
      <c r="AT7" s="71">
        <f>COUNTIFS('NDMO Specs. Overview'!$B$1:$B$194,$AS7&amp;".*", 'NDMO Specs. Overview'!$E$1:$E$194, Calculation!AT$3, 'NDMO Specs. Overview'!$F$1:$F$194, Calculation!$AT$2)</f>
        <v>1</v>
      </c>
      <c r="AU7" s="71">
        <f>COUNTIFS('NDMO Specs. Overview'!$B$1:$B$194,$AS7&amp;".*", 'NDMO Specs. Overview'!$E$1:$E$194, Calculation!AU$3, 'NDMO Specs. Overview'!$F$1:$F$194, Calculation!$AT$2)</f>
        <v>10</v>
      </c>
      <c r="AV7" s="71">
        <f>COUNTIFS('NDMO Specs. Overview'!$B$1:$B$194,$AS7&amp;".*", 'NDMO Specs. Overview'!$E$1:$E$194, Calculation!AV$3, 'NDMO Specs. Overview'!$F$1:$F$194, Calculation!$AT$2)</f>
        <v>1</v>
      </c>
      <c r="AW7" s="71">
        <f>COUNTIFS('NDMO Specs. Overview'!$B$1:$B$194,$AS7&amp;".*", 'NDMO Specs. Overview'!$E$1:$E$194, Calculation!AW$3, 'NDMO Specs. Overview'!$F$1:$F$194, $AW$2)</f>
        <v>1</v>
      </c>
      <c r="AX7" s="71">
        <f>COUNTIFS('NDMO Specs. Overview'!$B$1:$B$194,$AS7&amp;".*", 'NDMO Specs. Overview'!$E$1:$E$194, Calculation!AX$3, 'NDMO Specs. Overview'!$F$1:$F$194, $AW$2)</f>
        <v>0</v>
      </c>
      <c r="AY7" s="71">
        <f>COUNTIFS('NDMO Specs. Overview'!$B$1:$B$194,$AS7&amp;".*", 'NDMO Specs. Overview'!$E$1:$E$194, Calculation!AY$3, 'NDMO Specs. Overview'!$F$1:$F$194, $AW$2)</f>
        <v>0</v>
      </c>
      <c r="AZ7" s="71">
        <f>COUNTIFS('NDMO Specs. Overview'!$B$1:$B$194,$AS7&amp;".*", 'NDMO Specs. Overview'!$E$1:$E$194, Calculation!AZ$3, 'NDMO Specs. Overview'!$F$1:$F$194, $AZ$2)</f>
        <v>1</v>
      </c>
      <c r="BA7" s="71">
        <f>COUNTIFS('NDMO Specs. Overview'!$B$1:$B$194,$AS7&amp;".*", 'NDMO Specs. Overview'!$E$1:$E$194, Calculation!BA$3, 'NDMO Specs. Overview'!$F$1:$F$194, $AZ$2)</f>
        <v>0</v>
      </c>
      <c r="BB7" s="150">
        <f>COUNTIFS('NDMO Specs. Overview'!$B$1:$B$194,$AS7&amp;".*", 'NDMO Specs. Overview'!$E$1:$E$194, Calculation!BB$3, 'NDMO Specs. Overview'!$F$1:$F$194, $AZ$2)</f>
        <v>0</v>
      </c>
      <c r="BD7" s="149" t="s">
        <v>866</v>
      </c>
      <c r="BE7" s="70" t="s">
        <v>867</v>
      </c>
      <c r="BF7" s="85">
        <f t="shared" si="1"/>
        <v>0.86</v>
      </c>
      <c r="BG7" s="85">
        <f t="shared" si="10"/>
        <v>7.0000000000000007E-2</v>
      </c>
      <c r="BH7" s="85">
        <f t="shared" si="11"/>
        <v>7.0000000000000007E-2</v>
      </c>
      <c r="BI7" s="153">
        <f t="shared" ref="BI7:BI17" si="12">ROUND(BH7,2)</f>
        <v>7.0000000000000007E-2</v>
      </c>
    </row>
    <row r="8" spans="1:66" ht="24.6" customHeight="1">
      <c r="B8" s="42" t="s">
        <v>197</v>
      </c>
      <c r="D8" s="36">
        <f>COUNTIFS(Master!$C$5:$C$542, Calculation!$B8, Master!$E$5:$E$542, Calculation!D$3)</f>
        <v>1</v>
      </c>
      <c r="E8" s="36">
        <f>COUNTIFS(Master!$C$5:$C$542, Calculation!$B8, Master!$E$5:$E$542, Calculation!E$3)</f>
        <v>1</v>
      </c>
      <c r="F8" s="36">
        <f>COUNTIFS(Master!$C$5:$C$542, Calculation!$B8, Master!$E$5:$E$542, Calculation!F$3)</f>
        <v>1</v>
      </c>
      <c r="G8" s="36">
        <f>COUNTIFS(Master!$C$5:$C$542, Calculation!$B8, Master!$E$5:$E$542, Calculation!G$3)</f>
        <v>1</v>
      </c>
      <c r="H8" s="36">
        <f>COUNTIFS(Master!$C$5:$C$542, Calculation!$B8, Master!$E$5:$E$542, Calculation!H$3)</f>
        <v>1</v>
      </c>
      <c r="I8" s="68">
        <f t="shared" si="2"/>
        <v>5</v>
      </c>
      <c r="K8" s="45" t="s">
        <v>197</v>
      </c>
      <c r="L8" s="37"/>
      <c r="M8" s="36">
        <f>COUNTIFS(Master!$C$5:$C$542, Calculation!$K8, Master!$E$5:$E$542, Calculation!M$3, Master!$L$5:$L$542, "Yes" )</f>
        <v>1</v>
      </c>
      <c r="N8" s="36">
        <f>COUNTIFS(Master!$C$5:$C$542, Calculation!$K8, Master!$E$5:$E$542, Calculation!N$3, Master!$L$5:$L$542, "Yes" )</f>
        <v>1</v>
      </c>
      <c r="O8" s="36">
        <f>COUNTIFS(Master!$C$5:$C$542, Calculation!$K8, Master!$E$5:$E$542, Calculation!O$3, Master!$L$5:$L$542, "Yes" )</f>
        <v>0</v>
      </c>
      <c r="P8" s="36">
        <f>COUNTIFS(Master!$C$5:$C$542, Calculation!$K8, Master!$E$5:$E$542, Calculation!P$3, Master!$L$5:$L$542, "Yes" )</f>
        <v>0</v>
      </c>
      <c r="Q8" s="36">
        <f>COUNTIFS(Master!$C$5:$C$542, Calculation!$K8, Master!$E$5:$E$542, Calculation!Q$3, Master!$L$5:$L$542, "Yes" )</f>
        <v>0</v>
      </c>
      <c r="R8" s="68">
        <f t="shared" si="3"/>
        <v>2</v>
      </c>
      <c r="T8" s="135" t="s">
        <v>197</v>
      </c>
      <c r="V8" s="134">
        <f t="shared" si="4"/>
        <v>1</v>
      </c>
      <c r="W8" s="134">
        <f t="shared" si="5"/>
        <v>1</v>
      </c>
      <c r="X8" s="134">
        <f t="shared" si="6"/>
        <v>0</v>
      </c>
      <c r="Y8" s="134">
        <f t="shared" si="7"/>
        <v>0</v>
      </c>
      <c r="Z8" s="134">
        <f t="shared" si="8"/>
        <v>0</v>
      </c>
      <c r="AA8" s="68">
        <f t="shared" si="9"/>
        <v>2</v>
      </c>
      <c r="AC8" s="119" t="s">
        <v>1899</v>
      </c>
      <c r="AD8" s="36" t="s">
        <v>1144</v>
      </c>
      <c r="AE8" s="120">
        <v>9.2999999999999999E-2</v>
      </c>
      <c r="AF8" s="79">
        <f>$AE8</f>
        <v>9.2999999999999999E-2</v>
      </c>
      <c r="AG8" s="79"/>
      <c r="AI8" s="57"/>
      <c r="AK8" s="69" t="s">
        <v>1833</v>
      </c>
      <c r="AL8" s="70" t="s">
        <v>745</v>
      </c>
      <c r="AM8" s="71">
        <v>5</v>
      </c>
      <c r="AN8" s="71">
        <v>4</v>
      </c>
      <c r="AO8" s="71">
        <v>3</v>
      </c>
      <c r="AP8" s="72">
        <v>12</v>
      </c>
      <c r="AR8" s="149" t="s">
        <v>1833</v>
      </c>
      <c r="AS8" s="70" t="s">
        <v>745</v>
      </c>
      <c r="AT8" s="71">
        <f>COUNTIFS('NDMO Specs. Overview'!$B$1:$B$194,$AS8&amp;".*", 'NDMO Specs. Overview'!$E$1:$E$194, Calculation!AT$3, 'NDMO Specs. Overview'!$F$1:$F$194, Calculation!$AT$2)</f>
        <v>2</v>
      </c>
      <c r="AU8" s="71">
        <f>COUNTIFS('NDMO Specs. Overview'!$B$1:$B$194,$AS8&amp;".*", 'NDMO Specs. Overview'!$E$1:$E$194, Calculation!AU$3, 'NDMO Specs. Overview'!$F$1:$F$194, Calculation!$AT$2)</f>
        <v>4</v>
      </c>
      <c r="AV8" s="71">
        <f>COUNTIFS('NDMO Specs. Overview'!$B$1:$B$194,$AS8&amp;".*", 'NDMO Specs. Overview'!$E$1:$E$194, Calculation!AV$3, 'NDMO Specs. Overview'!$F$1:$F$194, Calculation!$AT$2)</f>
        <v>3</v>
      </c>
      <c r="AW8" s="71">
        <f>COUNTIFS('NDMO Specs. Overview'!$B$1:$B$194,$AS8&amp;".*", 'NDMO Specs. Overview'!$E$1:$E$194, Calculation!AW$3, 'NDMO Specs. Overview'!$F$1:$F$194, $AW$2)</f>
        <v>0</v>
      </c>
      <c r="AX8" s="71">
        <f>COUNTIFS('NDMO Specs. Overview'!$B$1:$B$194,$AS8&amp;".*", 'NDMO Specs. Overview'!$E$1:$E$194, Calculation!AX$3, 'NDMO Specs. Overview'!$F$1:$F$194, $AW$2)</f>
        <v>0</v>
      </c>
      <c r="AY8" s="71">
        <f>COUNTIFS('NDMO Specs. Overview'!$B$1:$B$194,$AS8&amp;".*", 'NDMO Specs. Overview'!$E$1:$E$194, Calculation!AY$3, 'NDMO Specs. Overview'!$F$1:$F$194, $AW$2)</f>
        <v>0</v>
      </c>
      <c r="AZ8" s="71">
        <f>COUNTIFS('NDMO Specs. Overview'!$B$1:$B$194,$AS8&amp;".*", 'NDMO Specs. Overview'!$E$1:$E$194, Calculation!AZ$3, 'NDMO Specs. Overview'!$F$1:$F$194, $AZ$2)</f>
        <v>3</v>
      </c>
      <c r="BA8" s="71">
        <f>COUNTIFS('NDMO Specs. Overview'!$B$1:$B$194,$AS8&amp;".*", 'NDMO Specs. Overview'!$E$1:$E$194, Calculation!BA$3, 'NDMO Specs. Overview'!$F$1:$F$194, $AZ$2)</f>
        <v>0</v>
      </c>
      <c r="BB8" s="150">
        <f>COUNTIFS('NDMO Specs. Overview'!$B$1:$B$194,$AS8&amp;".*", 'NDMO Specs. Overview'!$E$1:$E$194, Calculation!BB$3, 'NDMO Specs. Overview'!$F$1:$F$194, $AZ$2)</f>
        <v>0</v>
      </c>
      <c r="BD8" s="149" t="s">
        <v>1833</v>
      </c>
      <c r="BE8" s="70" t="s">
        <v>745</v>
      </c>
      <c r="BF8" s="85">
        <f t="shared" si="1"/>
        <v>0.75</v>
      </c>
      <c r="BG8" s="85">
        <f t="shared" si="10"/>
        <v>0</v>
      </c>
      <c r="BH8" s="85">
        <f t="shared" si="11"/>
        <v>0.25</v>
      </c>
      <c r="BI8" s="153">
        <f t="shared" si="12"/>
        <v>0.25</v>
      </c>
    </row>
    <row r="9" spans="1:66" ht="24.6" customHeight="1">
      <c r="B9" s="42" t="s">
        <v>214</v>
      </c>
      <c r="D9" s="36">
        <f>COUNTIFS(Master!$C$5:$C$542, Calculation!$B9, Master!$E$5:$E$542, Calculation!D$3)</f>
        <v>1</v>
      </c>
      <c r="E9" s="36">
        <f>COUNTIFS(Master!$C$5:$C$542, Calculation!$B9, Master!$E$5:$E$542, Calculation!E$3)</f>
        <v>2</v>
      </c>
      <c r="F9" s="36">
        <f>COUNTIFS(Master!$C$5:$C$542, Calculation!$B9, Master!$E$5:$E$542, Calculation!F$3)</f>
        <v>7</v>
      </c>
      <c r="G9" s="36">
        <f>COUNTIFS(Master!$C$5:$C$542, Calculation!$B9, Master!$E$5:$E$542, Calculation!G$3)</f>
        <v>1</v>
      </c>
      <c r="H9" s="36">
        <f>COUNTIFS(Master!$C$5:$C$542, Calculation!$B9, Master!$E$5:$E$542, Calculation!H$3)</f>
        <v>1</v>
      </c>
      <c r="I9" s="68">
        <f t="shared" si="2"/>
        <v>12</v>
      </c>
      <c r="K9" s="45" t="s">
        <v>214</v>
      </c>
      <c r="L9" s="37"/>
      <c r="M9" s="36">
        <f>COUNTIFS(Master!$C$5:$C$542, Calculation!$K9, Master!$E$5:$E$542, Calculation!M$3, Master!$L$5:$L$542, "Yes" )</f>
        <v>1</v>
      </c>
      <c r="N9" s="36">
        <f>COUNTIFS(Master!$C$5:$C$542, Calculation!$K9, Master!$E$5:$E$542, Calculation!N$3, Master!$L$5:$L$542, "Yes" )</f>
        <v>2</v>
      </c>
      <c r="O9" s="36">
        <f>COUNTIFS(Master!$C$5:$C$542, Calculation!$K9, Master!$E$5:$E$542, Calculation!O$3, Master!$L$5:$L$542, "Yes" )</f>
        <v>5</v>
      </c>
      <c r="P9" s="36">
        <f>COUNTIFS(Master!$C$5:$C$542, Calculation!$K9, Master!$E$5:$E$542, Calculation!P$3, Master!$L$5:$L$542, "Yes" )</f>
        <v>0</v>
      </c>
      <c r="Q9" s="36">
        <f>COUNTIFS(Master!$C$5:$C$542, Calculation!$K9, Master!$E$5:$E$542, Calculation!Q$3, Master!$L$5:$L$542, "Yes" )</f>
        <v>0</v>
      </c>
      <c r="R9" s="68">
        <f t="shared" si="3"/>
        <v>8</v>
      </c>
      <c r="T9" s="135" t="s">
        <v>214</v>
      </c>
      <c r="V9" s="134">
        <f t="shared" si="4"/>
        <v>1</v>
      </c>
      <c r="W9" s="134">
        <f t="shared" si="5"/>
        <v>1</v>
      </c>
      <c r="X9" s="134">
        <f t="shared" si="6"/>
        <v>0.7142857142857143</v>
      </c>
      <c r="Y9" s="134">
        <f t="shared" si="7"/>
        <v>0</v>
      </c>
      <c r="Z9" s="134">
        <f t="shared" si="8"/>
        <v>0</v>
      </c>
      <c r="AA9" s="68">
        <f t="shared" si="9"/>
        <v>2</v>
      </c>
      <c r="AC9" s="119" t="s">
        <v>1870</v>
      </c>
      <c r="AD9" s="36" t="s">
        <v>281</v>
      </c>
      <c r="AE9" s="120">
        <v>8.9499999999999996E-2</v>
      </c>
      <c r="AF9" s="79">
        <f>$AE9</f>
        <v>8.9499999999999996E-2</v>
      </c>
      <c r="AG9" s="79"/>
      <c r="AI9" s="57"/>
      <c r="AK9" s="69" t="s">
        <v>1855</v>
      </c>
      <c r="AL9" s="70" t="s">
        <v>1432</v>
      </c>
      <c r="AM9" s="71">
        <v>3</v>
      </c>
      <c r="AN9" s="71">
        <v>10</v>
      </c>
      <c r="AO9" s="71">
        <v>0</v>
      </c>
      <c r="AP9" s="72">
        <v>13</v>
      </c>
      <c r="AR9" s="149" t="s">
        <v>1855</v>
      </c>
      <c r="AS9" s="70" t="s">
        <v>1432</v>
      </c>
      <c r="AT9" s="71">
        <f>COUNTIFS('NDMO Specs. Overview'!$B$1:$B$194,$AS9&amp;".*", 'NDMO Specs. Overview'!$E$1:$E$194, Calculation!AT$3, 'NDMO Specs. Overview'!$F$1:$F$194, Calculation!$AT$2)</f>
        <v>0</v>
      </c>
      <c r="AU9" s="71">
        <f>COUNTIFS('NDMO Specs. Overview'!$B$1:$B$194,$AS9&amp;".*", 'NDMO Specs. Overview'!$E$1:$E$194, Calculation!AU$3, 'NDMO Specs. Overview'!$F$1:$F$194, Calculation!$AT$2)</f>
        <v>9</v>
      </c>
      <c r="AV9" s="71">
        <f>COUNTIFS('NDMO Specs. Overview'!$B$1:$B$194,$AS9&amp;".*", 'NDMO Specs. Overview'!$E$1:$E$194, Calculation!AV$3, 'NDMO Specs. Overview'!$F$1:$F$194, Calculation!$AT$2)</f>
        <v>0</v>
      </c>
      <c r="AW9" s="71">
        <f>COUNTIFS('NDMO Specs. Overview'!$B$1:$B$194,$AS9&amp;".*", 'NDMO Specs. Overview'!$E$1:$E$194, Calculation!AW$3, 'NDMO Specs. Overview'!$F$1:$F$194, $AW$2)</f>
        <v>2</v>
      </c>
      <c r="AX9" s="71">
        <f>COUNTIFS('NDMO Specs. Overview'!$B$1:$B$194,$AS9&amp;".*", 'NDMO Specs. Overview'!$E$1:$E$194, Calculation!AX$3, 'NDMO Specs. Overview'!$F$1:$F$194, $AW$2)</f>
        <v>1</v>
      </c>
      <c r="AY9" s="71">
        <f>COUNTIFS('NDMO Specs. Overview'!$B$1:$B$194,$AS9&amp;".*", 'NDMO Specs. Overview'!$E$1:$E$194, Calculation!AY$3, 'NDMO Specs. Overview'!$F$1:$F$194, $AW$2)</f>
        <v>0</v>
      </c>
      <c r="AZ9" s="71">
        <f>COUNTIFS('NDMO Specs. Overview'!$B$1:$B$194,$AS9&amp;".*", 'NDMO Specs. Overview'!$E$1:$E$194, Calculation!AZ$3, 'NDMO Specs. Overview'!$F$1:$F$194, $AZ$2)</f>
        <v>1</v>
      </c>
      <c r="BA9" s="71">
        <f>COUNTIFS('NDMO Specs. Overview'!$B$1:$B$194,$AS9&amp;".*", 'NDMO Specs. Overview'!$E$1:$E$194, Calculation!BA$3, 'NDMO Specs. Overview'!$F$1:$F$194, $AZ$2)</f>
        <v>0</v>
      </c>
      <c r="BB9" s="150">
        <f>COUNTIFS('NDMO Specs. Overview'!$B$1:$B$194,$AS9&amp;".*", 'NDMO Specs. Overview'!$E$1:$E$194, Calculation!BB$3, 'NDMO Specs. Overview'!$F$1:$F$194, $AZ$2)</f>
        <v>0</v>
      </c>
      <c r="BD9" s="149" t="s">
        <v>1855</v>
      </c>
      <c r="BE9" s="70" t="s">
        <v>1432</v>
      </c>
      <c r="BF9" s="85">
        <f t="shared" si="1"/>
        <v>0.69</v>
      </c>
      <c r="BG9" s="85">
        <f t="shared" si="10"/>
        <v>0.23</v>
      </c>
      <c r="BH9" s="85">
        <f t="shared" si="11"/>
        <v>0.08</v>
      </c>
      <c r="BI9" s="153">
        <f t="shared" si="12"/>
        <v>0.08</v>
      </c>
    </row>
    <row r="10" spans="1:66" ht="24.6" customHeight="1">
      <c r="B10" s="42" t="s">
        <v>259</v>
      </c>
      <c r="D10" s="36">
        <f>COUNTIFS(Master!$C$5:$C$542, Calculation!$B10, Master!$E$5:$E$542, Calculation!D$3)</f>
        <v>1</v>
      </c>
      <c r="E10" s="36">
        <f>COUNTIFS(Master!$C$5:$C$542, Calculation!$B10, Master!$E$5:$E$542, Calculation!E$3)</f>
        <v>1</v>
      </c>
      <c r="F10" s="36">
        <f>COUNTIFS(Master!$C$5:$C$542, Calculation!$B10, Master!$E$5:$E$542, Calculation!F$3)</f>
        <v>2</v>
      </c>
      <c r="G10" s="36">
        <f>COUNTIFS(Master!$C$5:$C$542, Calculation!$B10, Master!$E$5:$E$542, Calculation!G$3)</f>
        <v>1</v>
      </c>
      <c r="H10" s="36">
        <f>COUNTIFS(Master!$C$5:$C$542, Calculation!$B10, Master!$E$5:$E$542, Calculation!H$3)</f>
        <v>1</v>
      </c>
      <c r="I10" s="68">
        <f t="shared" si="2"/>
        <v>6</v>
      </c>
      <c r="K10" s="45" t="s">
        <v>259</v>
      </c>
      <c r="L10" s="37"/>
      <c r="M10" s="36">
        <f>COUNTIFS(Master!$C$5:$C$542, Calculation!$K10, Master!$E$5:$E$542, Calculation!M$3, Master!$L$5:$L$542, "Yes" )</f>
        <v>1</v>
      </c>
      <c r="N10" s="36">
        <f>COUNTIFS(Master!$C$5:$C$542, Calculation!$K10, Master!$E$5:$E$542, Calculation!N$3, Master!$L$5:$L$542, "Yes" )</f>
        <v>0</v>
      </c>
      <c r="O10" s="36">
        <f>COUNTIFS(Master!$C$5:$C$542, Calculation!$K10, Master!$E$5:$E$542, Calculation!O$3, Master!$L$5:$L$542, "Yes" )</f>
        <v>0</v>
      </c>
      <c r="P10" s="36">
        <f>COUNTIFS(Master!$C$5:$C$542, Calculation!$K10, Master!$E$5:$E$542, Calculation!P$3, Master!$L$5:$L$542, "Yes" )</f>
        <v>0</v>
      </c>
      <c r="Q10" s="36">
        <f>COUNTIFS(Master!$C$5:$C$542, Calculation!$K10, Master!$E$5:$E$542, Calculation!Q$3, Master!$L$5:$L$542, "Yes" )</f>
        <v>0</v>
      </c>
      <c r="R10" s="68">
        <f t="shared" si="3"/>
        <v>1</v>
      </c>
      <c r="T10" s="135" t="s">
        <v>259</v>
      </c>
      <c r="V10" s="134">
        <f t="shared" si="4"/>
        <v>1</v>
      </c>
      <c r="W10" s="134">
        <f t="shared" si="5"/>
        <v>0</v>
      </c>
      <c r="X10" s="134">
        <f t="shared" si="6"/>
        <v>0</v>
      </c>
      <c r="Y10" s="134">
        <f t="shared" si="7"/>
        <v>0</v>
      </c>
      <c r="Z10" s="134">
        <f t="shared" si="8"/>
        <v>0</v>
      </c>
      <c r="AA10" s="68">
        <f t="shared" si="9"/>
        <v>1</v>
      </c>
      <c r="AC10" s="119" t="s">
        <v>195</v>
      </c>
      <c r="AD10" s="36" t="s">
        <v>196</v>
      </c>
      <c r="AE10" s="120">
        <v>6.8400000000000002E-2</v>
      </c>
      <c r="AF10" s="79">
        <f>$AE10+$AG$14</f>
        <v>8.2685714285714293E-2</v>
      </c>
      <c r="AG10" s="79"/>
      <c r="AI10" s="57"/>
      <c r="AK10" s="69" t="s">
        <v>1870</v>
      </c>
      <c r="AL10" s="70" t="s">
        <v>281</v>
      </c>
      <c r="AM10" s="71">
        <v>8</v>
      </c>
      <c r="AN10" s="71">
        <v>7</v>
      </c>
      <c r="AO10" s="71">
        <v>1</v>
      </c>
      <c r="AP10" s="72">
        <v>16</v>
      </c>
      <c r="AR10" s="149" t="s">
        <v>1870</v>
      </c>
      <c r="AS10" s="70" t="s">
        <v>281</v>
      </c>
      <c r="AT10" s="71">
        <f>COUNTIFS('NDMO Specs. Overview'!$B$1:$B$194,$AS10&amp;".*", 'NDMO Specs. Overview'!$E$1:$E$194, Calculation!AT$3, 'NDMO Specs. Overview'!$F$1:$F$194, Calculation!$AT$2)</f>
        <v>4</v>
      </c>
      <c r="AU10" s="71">
        <f>COUNTIFS('NDMO Specs. Overview'!$B$1:$B$194,$AS10&amp;".*", 'NDMO Specs. Overview'!$E$1:$E$194, Calculation!AU$3, 'NDMO Specs. Overview'!$F$1:$F$194, Calculation!$AT$2)</f>
        <v>7</v>
      </c>
      <c r="AV10" s="71">
        <f>COUNTIFS('NDMO Specs. Overview'!$B$1:$B$194,$AS10&amp;".*", 'NDMO Specs. Overview'!$E$1:$E$194, Calculation!AV$3, 'NDMO Specs. Overview'!$F$1:$F$194, Calculation!$AT$2)</f>
        <v>1</v>
      </c>
      <c r="AW10" s="71">
        <f>COUNTIFS('NDMO Specs. Overview'!$B$1:$B$194,$AS10&amp;".*", 'NDMO Specs. Overview'!$E$1:$E$194, Calculation!AW$3, 'NDMO Specs. Overview'!$F$1:$F$194, $AW$2)</f>
        <v>3</v>
      </c>
      <c r="AX10" s="71">
        <f>COUNTIFS('NDMO Specs. Overview'!$B$1:$B$194,$AS10&amp;".*", 'NDMO Specs. Overview'!$E$1:$E$194, Calculation!AX$3, 'NDMO Specs. Overview'!$F$1:$F$194, $AW$2)</f>
        <v>0</v>
      </c>
      <c r="AY10" s="71">
        <f>COUNTIFS('NDMO Specs. Overview'!$B$1:$B$194,$AS10&amp;".*", 'NDMO Specs. Overview'!$E$1:$E$194, Calculation!AY$3, 'NDMO Specs. Overview'!$F$1:$F$194, $AW$2)</f>
        <v>0</v>
      </c>
      <c r="AZ10" s="71">
        <f>COUNTIFS('NDMO Specs. Overview'!$B$1:$B$194,$AS10&amp;".*", 'NDMO Specs. Overview'!$E$1:$E$194, Calculation!AZ$3, 'NDMO Specs. Overview'!$F$1:$F$194, $AZ$2)</f>
        <v>1</v>
      </c>
      <c r="BA10" s="71">
        <f>COUNTIFS('NDMO Specs. Overview'!$B$1:$B$194,$AS10&amp;".*", 'NDMO Specs. Overview'!$E$1:$E$194, Calculation!BA$3, 'NDMO Specs. Overview'!$F$1:$F$194, $AZ$2)</f>
        <v>0</v>
      </c>
      <c r="BB10" s="150">
        <f>COUNTIFS('NDMO Specs. Overview'!$B$1:$B$194,$AS10&amp;".*", 'NDMO Specs. Overview'!$E$1:$E$194, Calculation!BB$3, 'NDMO Specs. Overview'!$F$1:$F$194, $AZ$2)</f>
        <v>0</v>
      </c>
      <c r="BD10" s="149" t="s">
        <v>1870</v>
      </c>
      <c r="BE10" s="70" t="s">
        <v>281</v>
      </c>
      <c r="BF10" s="85">
        <f t="shared" si="1"/>
        <v>0.75</v>
      </c>
      <c r="BG10" s="85">
        <f t="shared" si="10"/>
        <v>0.19</v>
      </c>
      <c r="BH10" s="85">
        <f t="shared" si="11"/>
        <v>0.06</v>
      </c>
      <c r="BI10" s="153">
        <f t="shared" si="12"/>
        <v>0.06</v>
      </c>
    </row>
    <row r="11" spans="1:66" ht="24.6" customHeight="1">
      <c r="B11" s="42" t="s">
        <v>282</v>
      </c>
      <c r="D11" s="36">
        <f>COUNTIFS(Master!$C$5:$C$542, Calculation!$B11, Master!$E$5:$E$542, Calculation!D$3)</f>
        <v>2</v>
      </c>
      <c r="E11" s="36">
        <f>COUNTIFS(Master!$C$5:$C$542, Calculation!$B11, Master!$E$5:$E$542, Calculation!E$3)</f>
        <v>5</v>
      </c>
      <c r="F11" s="36">
        <f>COUNTIFS(Master!$C$5:$C$542, Calculation!$B11, Master!$E$5:$E$542, Calculation!F$3)</f>
        <v>3</v>
      </c>
      <c r="G11" s="36">
        <f>COUNTIFS(Master!$C$5:$C$542, Calculation!$B11, Master!$E$5:$E$542, Calculation!G$3)</f>
        <v>1</v>
      </c>
      <c r="H11" s="36">
        <f>COUNTIFS(Master!$C$5:$C$542, Calculation!$B11, Master!$E$5:$E$542, Calculation!H$3)</f>
        <v>1</v>
      </c>
      <c r="I11" s="68">
        <f t="shared" si="2"/>
        <v>12</v>
      </c>
      <c r="K11" s="45" t="s">
        <v>282</v>
      </c>
      <c r="L11" s="37"/>
      <c r="M11" s="36">
        <f>COUNTIFS(Master!$C$5:$C$542, Calculation!$K11, Master!$E$5:$E$542, Calculation!M$3, Master!$L$5:$L$542, "Yes" )</f>
        <v>1</v>
      </c>
      <c r="N11" s="36">
        <f>COUNTIFS(Master!$C$5:$C$542, Calculation!$K11, Master!$E$5:$E$542, Calculation!N$3, Master!$L$5:$L$542, "Yes" )</f>
        <v>0</v>
      </c>
      <c r="O11" s="36">
        <f>COUNTIFS(Master!$C$5:$C$542, Calculation!$K11, Master!$E$5:$E$542, Calculation!O$3, Master!$L$5:$L$542, "Yes" )</f>
        <v>0</v>
      </c>
      <c r="P11" s="36">
        <f>COUNTIFS(Master!$C$5:$C$542, Calculation!$K11, Master!$E$5:$E$542, Calculation!P$3, Master!$L$5:$L$542, "Yes" )</f>
        <v>0</v>
      </c>
      <c r="Q11" s="36">
        <f>COUNTIFS(Master!$C$5:$C$542, Calculation!$K11, Master!$E$5:$E$542, Calculation!Q$3, Master!$L$5:$L$542, "Yes" )</f>
        <v>0</v>
      </c>
      <c r="R11" s="68">
        <f t="shared" si="3"/>
        <v>1</v>
      </c>
      <c r="T11" s="135" t="s">
        <v>282</v>
      </c>
      <c r="V11" s="134">
        <f t="shared" si="4"/>
        <v>0.5</v>
      </c>
      <c r="W11" s="134">
        <f t="shared" si="5"/>
        <v>0</v>
      </c>
      <c r="X11" s="134">
        <f t="shared" si="6"/>
        <v>0</v>
      </c>
      <c r="Y11" s="134">
        <f t="shared" si="7"/>
        <v>0</v>
      </c>
      <c r="Z11" s="134">
        <f t="shared" si="8"/>
        <v>0</v>
      </c>
      <c r="AA11" s="68">
        <f t="shared" si="9"/>
        <v>0</v>
      </c>
      <c r="AC11" s="119" t="s">
        <v>1603</v>
      </c>
      <c r="AD11" s="36" t="s">
        <v>1604</v>
      </c>
      <c r="AE11" s="120">
        <v>6.4899999999999999E-2</v>
      </c>
      <c r="AF11" s="85">
        <v>0</v>
      </c>
      <c r="AG11" s="79">
        <v>6.4899999999999999E-2</v>
      </c>
      <c r="AI11" s="57"/>
      <c r="AK11" s="69" t="s">
        <v>1899</v>
      </c>
      <c r="AL11" s="70" t="s">
        <v>1144</v>
      </c>
      <c r="AM11" s="71">
        <v>8</v>
      </c>
      <c r="AN11" s="71">
        <v>10</v>
      </c>
      <c r="AO11" s="71">
        <v>0</v>
      </c>
      <c r="AP11" s="72">
        <v>18</v>
      </c>
      <c r="AR11" s="149" t="s">
        <v>1899</v>
      </c>
      <c r="AS11" s="70" t="s">
        <v>1144</v>
      </c>
      <c r="AT11" s="71">
        <f>COUNTIFS('NDMO Specs. Overview'!$B$1:$B$194,$AS11&amp;".*", 'NDMO Specs. Overview'!$E$1:$E$194, Calculation!AT$3, 'NDMO Specs. Overview'!$F$1:$F$194, Calculation!$AT$2)</f>
        <v>7</v>
      </c>
      <c r="AU11" s="71">
        <f>COUNTIFS('NDMO Specs. Overview'!$B$1:$B$194,$AS11&amp;".*", 'NDMO Specs. Overview'!$E$1:$E$194, Calculation!AU$3, 'NDMO Specs. Overview'!$F$1:$F$194, Calculation!$AT$2)</f>
        <v>10</v>
      </c>
      <c r="AV11" s="71">
        <f>COUNTIFS('NDMO Specs. Overview'!$B$1:$B$194,$AS11&amp;".*", 'NDMO Specs. Overview'!$E$1:$E$194, Calculation!AV$3, 'NDMO Specs. Overview'!$F$1:$F$194, Calculation!$AT$2)</f>
        <v>0</v>
      </c>
      <c r="AW11" s="71">
        <f>COUNTIFS('NDMO Specs. Overview'!$B$1:$B$194,$AS11&amp;".*", 'NDMO Specs. Overview'!$E$1:$E$194, Calculation!AW$3, 'NDMO Specs. Overview'!$F$1:$F$194, $AW$2)</f>
        <v>0</v>
      </c>
      <c r="AX11" s="71">
        <f>COUNTIFS('NDMO Specs. Overview'!$B$1:$B$194,$AS11&amp;".*", 'NDMO Specs. Overview'!$E$1:$E$194, Calculation!AX$3, 'NDMO Specs. Overview'!$F$1:$F$194, $AW$2)</f>
        <v>0</v>
      </c>
      <c r="AY11" s="71">
        <f>COUNTIFS('NDMO Specs. Overview'!$B$1:$B$194,$AS11&amp;".*", 'NDMO Specs. Overview'!$E$1:$E$194, Calculation!AY$3, 'NDMO Specs. Overview'!$F$1:$F$194, $AW$2)</f>
        <v>0</v>
      </c>
      <c r="AZ11" s="71">
        <f>COUNTIFS('NDMO Specs. Overview'!$B$1:$B$194,$AS11&amp;".*", 'NDMO Specs. Overview'!$E$1:$E$194, Calculation!AZ$3, 'NDMO Specs. Overview'!$F$1:$F$194, $AZ$2)</f>
        <v>1</v>
      </c>
      <c r="BA11" s="71">
        <f>COUNTIFS('NDMO Specs. Overview'!$B$1:$B$194,$AS11&amp;".*", 'NDMO Specs. Overview'!$E$1:$E$194, Calculation!BA$3, 'NDMO Specs. Overview'!$F$1:$F$194, $AZ$2)</f>
        <v>0</v>
      </c>
      <c r="BB11" s="150">
        <f>COUNTIFS('NDMO Specs. Overview'!$B$1:$B$194,$AS11&amp;".*", 'NDMO Specs. Overview'!$E$1:$E$194, Calculation!BB$3, 'NDMO Specs. Overview'!$F$1:$F$194, $AZ$2)</f>
        <v>0</v>
      </c>
      <c r="BD11" s="149" t="s">
        <v>1899</v>
      </c>
      <c r="BE11" s="70" t="s">
        <v>1144</v>
      </c>
      <c r="BF11" s="85">
        <f t="shared" si="1"/>
        <v>0.94</v>
      </c>
      <c r="BG11" s="85">
        <f t="shared" si="10"/>
        <v>0</v>
      </c>
      <c r="BH11" s="85">
        <f t="shared" si="11"/>
        <v>0.06</v>
      </c>
      <c r="BI11" s="153">
        <f t="shared" si="12"/>
        <v>0.06</v>
      </c>
    </row>
    <row r="12" spans="1:66" ht="24.6" customHeight="1">
      <c r="B12" s="44" t="s">
        <v>323</v>
      </c>
      <c r="D12" s="36">
        <f>COUNTIFS(Master!$C$5:$C$542, Calculation!$B12, Master!$E$5:$E$542, Calculation!D$3)</f>
        <v>1</v>
      </c>
      <c r="E12" s="36">
        <f>COUNTIFS(Master!$C$5:$C$542, Calculation!$B12, Master!$E$5:$E$542, Calculation!E$3)</f>
        <v>4</v>
      </c>
      <c r="F12" s="36">
        <f>COUNTIFS(Master!$C$5:$C$542, Calculation!$B12, Master!$E$5:$E$542, Calculation!F$3)</f>
        <v>8</v>
      </c>
      <c r="G12" s="36">
        <f>COUNTIFS(Master!$C$5:$C$542, Calculation!$B12, Master!$E$5:$E$542, Calculation!G$3)</f>
        <v>2</v>
      </c>
      <c r="H12" s="36">
        <f>COUNTIFS(Master!$C$5:$C$542, Calculation!$B12, Master!$E$5:$E$542, Calculation!H$3)</f>
        <v>1</v>
      </c>
      <c r="I12" s="68">
        <f t="shared" si="2"/>
        <v>16</v>
      </c>
      <c r="K12" s="45" t="s">
        <v>323</v>
      </c>
      <c r="L12" s="37"/>
      <c r="M12" s="36">
        <f>COUNTIFS(Master!$C$5:$C$542, Calculation!$K12, Master!$E$5:$E$542, Calculation!M$3, Master!$L$5:$L$542, "Yes" )</f>
        <v>1</v>
      </c>
      <c r="N12" s="36">
        <f>COUNTIFS(Master!$C$5:$C$542, Calculation!$K12, Master!$E$5:$E$542, Calculation!N$3, Master!$L$5:$L$542, "Yes" )</f>
        <v>1</v>
      </c>
      <c r="O12" s="36">
        <f>COUNTIFS(Master!$C$5:$C$542, Calculation!$K12, Master!$E$5:$E$542, Calculation!O$3, Master!$L$5:$L$542, "Yes" )</f>
        <v>0</v>
      </c>
      <c r="P12" s="36">
        <f>COUNTIFS(Master!$C$5:$C$542, Calculation!$K12, Master!$E$5:$E$542, Calculation!P$3, Master!$L$5:$L$542, "Yes" )</f>
        <v>0</v>
      </c>
      <c r="Q12" s="36">
        <f>COUNTIFS(Master!$C$5:$C$542, Calculation!$K12, Master!$E$5:$E$542, Calculation!Q$3, Master!$L$5:$L$542, "Yes" )</f>
        <v>0</v>
      </c>
      <c r="R12" s="68">
        <f t="shared" si="3"/>
        <v>2</v>
      </c>
      <c r="T12" s="136" t="s">
        <v>323</v>
      </c>
      <c r="V12" s="134">
        <f t="shared" si="4"/>
        <v>1</v>
      </c>
      <c r="W12" s="134">
        <f t="shared" si="5"/>
        <v>0.25</v>
      </c>
      <c r="X12" s="134">
        <f t="shared" si="6"/>
        <v>0</v>
      </c>
      <c r="Y12" s="134">
        <f t="shared" si="7"/>
        <v>0</v>
      </c>
      <c r="Z12" s="134">
        <f t="shared" si="8"/>
        <v>0</v>
      </c>
      <c r="AA12" s="68">
        <f t="shared" si="9"/>
        <v>1</v>
      </c>
      <c r="AC12" s="119" t="s">
        <v>1855</v>
      </c>
      <c r="AD12" s="36" t="s">
        <v>1432</v>
      </c>
      <c r="AE12" s="120">
        <v>5.0900000000000001E-2</v>
      </c>
      <c r="AF12" s="79">
        <f>$AE12+$AG$14</f>
        <v>6.5185714285714291E-2</v>
      </c>
      <c r="AG12" s="79">
        <v>3.5099999999999999E-2</v>
      </c>
      <c r="AI12" s="57"/>
      <c r="AK12" s="69" t="s">
        <v>1921</v>
      </c>
      <c r="AL12" s="70" t="s">
        <v>1251</v>
      </c>
      <c r="AM12" s="71">
        <v>4</v>
      </c>
      <c r="AN12" s="71">
        <v>5</v>
      </c>
      <c r="AO12" s="71">
        <v>1</v>
      </c>
      <c r="AP12" s="72">
        <v>10</v>
      </c>
      <c r="AR12" s="149" t="s">
        <v>1921</v>
      </c>
      <c r="AS12" s="70" t="s">
        <v>1251</v>
      </c>
      <c r="AT12" s="71">
        <f>COUNTIFS('NDMO Specs. Overview'!$B$1:$B$194,$AS12&amp;".*", 'NDMO Specs. Overview'!$E$1:$E$194, Calculation!AT$3, 'NDMO Specs. Overview'!$F$1:$F$194, Calculation!$AT$2)</f>
        <v>3</v>
      </c>
      <c r="AU12" s="71">
        <f>COUNTIFS('NDMO Specs. Overview'!$B$1:$B$194,$AS12&amp;".*", 'NDMO Specs. Overview'!$E$1:$E$194, Calculation!AU$3, 'NDMO Specs. Overview'!$F$1:$F$194, Calculation!$AT$2)</f>
        <v>3</v>
      </c>
      <c r="AV12" s="71">
        <f>COUNTIFS('NDMO Specs. Overview'!$B$1:$B$194,$AS12&amp;".*", 'NDMO Specs. Overview'!$E$1:$E$194, Calculation!AV$3, 'NDMO Specs. Overview'!$F$1:$F$194, Calculation!$AT$2)</f>
        <v>1</v>
      </c>
      <c r="AW12" s="71">
        <f>COUNTIFS('NDMO Specs. Overview'!$B$1:$B$194,$AS12&amp;".*", 'NDMO Specs. Overview'!$E$1:$E$194, Calculation!AW$3, 'NDMO Specs. Overview'!$F$1:$F$194, $AW$2)</f>
        <v>0</v>
      </c>
      <c r="AX12" s="71">
        <f>COUNTIFS('NDMO Specs. Overview'!$B$1:$B$194,$AS12&amp;".*", 'NDMO Specs. Overview'!$E$1:$E$194, Calculation!AX$3, 'NDMO Specs. Overview'!$F$1:$F$194, $AW$2)</f>
        <v>1</v>
      </c>
      <c r="AY12" s="71">
        <f>COUNTIFS('NDMO Specs. Overview'!$B$1:$B$194,$AS12&amp;".*", 'NDMO Specs. Overview'!$E$1:$E$194, Calculation!AY$3, 'NDMO Specs. Overview'!$F$1:$F$194, $AW$2)</f>
        <v>0</v>
      </c>
      <c r="AZ12" s="71">
        <f>COUNTIFS('NDMO Specs. Overview'!$B$1:$B$194,$AS12&amp;".*", 'NDMO Specs. Overview'!$E$1:$E$194, Calculation!AZ$3, 'NDMO Specs. Overview'!$F$1:$F$194, $AZ$2)</f>
        <v>1</v>
      </c>
      <c r="BA12" s="71">
        <f>COUNTIFS('NDMO Specs. Overview'!$B$1:$B$194,$AS12&amp;".*", 'NDMO Specs. Overview'!$E$1:$E$194, Calculation!BA$3, 'NDMO Specs. Overview'!$F$1:$F$194, $AZ$2)</f>
        <v>1</v>
      </c>
      <c r="BB12" s="150">
        <f>COUNTIFS('NDMO Specs. Overview'!$B$1:$B$194,$AS12&amp;".*", 'NDMO Specs. Overview'!$E$1:$E$194, Calculation!BB$3, 'NDMO Specs. Overview'!$F$1:$F$194, $AZ$2)</f>
        <v>0</v>
      </c>
      <c r="BD12" s="149" t="s">
        <v>1921</v>
      </c>
      <c r="BE12" s="70" t="s">
        <v>1251</v>
      </c>
      <c r="BF12" s="85">
        <f t="shared" si="1"/>
        <v>0.7</v>
      </c>
      <c r="BG12" s="85">
        <f t="shared" si="10"/>
        <v>0.1</v>
      </c>
      <c r="BH12" s="85">
        <f t="shared" si="11"/>
        <v>0.2</v>
      </c>
      <c r="BI12" s="153">
        <f t="shared" si="12"/>
        <v>0.2</v>
      </c>
    </row>
    <row r="13" spans="1:66" ht="24.6" customHeight="1">
      <c r="B13" s="44" t="s">
        <v>378</v>
      </c>
      <c r="D13" s="36">
        <f>COUNTIFS(Master!$C$5:$C$542, Calculation!$B13, Master!$E$5:$E$542, Calculation!D$3)</f>
        <v>1</v>
      </c>
      <c r="E13" s="36">
        <f>COUNTIFS(Master!$C$5:$C$542, Calculation!$B13, Master!$E$5:$E$542, Calculation!E$3)</f>
        <v>2</v>
      </c>
      <c r="F13" s="36">
        <f>COUNTIFS(Master!$C$5:$C$542, Calculation!$B13, Master!$E$5:$E$542, Calculation!F$3)</f>
        <v>2</v>
      </c>
      <c r="G13" s="36">
        <f>COUNTIFS(Master!$C$5:$C$542, Calculation!$B13, Master!$E$5:$E$542, Calculation!G$3)</f>
        <v>2</v>
      </c>
      <c r="H13" s="36">
        <f>COUNTIFS(Master!$C$5:$C$542, Calculation!$B13, Master!$E$5:$E$542, Calculation!H$3)</f>
        <v>2</v>
      </c>
      <c r="I13" s="68">
        <f t="shared" si="2"/>
        <v>9</v>
      </c>
      <c r="K13" s="45" t="s">
        <v>378</v>
      </c>
      <c r="L13" s="37"/>
      <c r="M13" s="36">
        <f>COUNTIFS(Master!$C$5:$C$542, Calculation!$K13, Master!$E$5:$E$542, Calculation!M$3, Master!$L$5:$L$542, "Yes" )</f>
        <v>1</v>
      </c>
      <c r="N13" s="36">
        <f>COUNTIFS(Master!$C$5:$C$542, Calculation!$K13, Master!$E$5:$E$542, Calculation!N$3, Master!$L$5:$L$542, "Yes" )</f>
        <v>1</v>
      </c>
      <c r="O13" s="36">
        <f>COUNTIFS(Master!$C$5:$C$542, Calculation!$K13, Master!$E$5:$E$542, Calculation!O$3, Master!$L$5:$L$542, "Yes" )</f>
        <v>0</v>
      </c>
      <c r="P13" s="36">
        <f>COUNTIFS(Master!$C$5:$C$542, Calculation!$K13, Master!$E$5:$E$542, Calculation!P$3, Master!$L$5:$L$542, "Yes" )</f>
        <v>0</v>
      </c>
      <c r="Q13" s="36">
        <f>COUNTIFS(Master!$C$5:$C$542, Calculation!$K13, Master!$E$5:$E$542, Calculation!Q$3, Master!$L$5:$L$542, "Yes" )</f>
        <v>0</v>
      </c>
      <c r="R13" s="68">
        <f t="shared" si="3"/>
        <v>2</v>
      </c>
      <c r="T13" s="136" t="s">
        <v>378</v>
      </c>
      <c r="V13" s="134">
        <f t="shared" si="4"/>
        <v>1</v>
      </c>
      <c r="W13" s="134">
        <f t="shared" si="5"/>
        <v>0.5</v>
      </c>
      <c r="X13" s="134">
        <f t="shared" si="6"/>
        <v>0</v>
      </c>
      <c r="Y13" s="134">
        <f t="shared" si="7"/>
        <v>0</v>
      </c>
      <c r="Z13" s="134">
        <f t="shared" si="8"/>
        <v>0</v>
      </c>
      <c r="AA13" s="68">
        <f t="shared" si="9"/>
        <v>1</v>
      </c>
      <c r="AC13" s="119" t="s">
        <v>1921</v>
      </c>
      <c r="AD13" s="36" t="s">
        <v>1251</v>
      </c>
      <c r="AE13" s="120">
        <v>4.7399999999999998E-2</v>
      </c>
      <c r="AF13" s="79">
        <f>$AE13+$AG$14</f>
        <v>6.1685714285714288E-2</v>
      </c>
      <c r="AG13" s="79">
        <f>SUM(AG11:AG12)</f>
        <v>0.1</v>
      </c>
      <c r="AI13" s="57"/>
      <c r="AK13" s="69" t="s">
        <v>1950</v>
      </c>
      <c r="AL13" s="70" t="s">
        <v>675</v>
      </c>
      <c r="AM13" s="71">
        <v>2</v>
      </c>
      <c r="AN13" s="71">
        <v>5</v>
      </c>
      <c r="AO13" s="71">
        <v>1</v>
      </c>
      <c r="AP13" s="72">
        <v>8</v>
      </c>
      <c r="AR13" s="149" t="s">
        <v>1950</v>
      </c>
      <c r="AS13" s="70" t="s">
        <v>675</v>
      </c>
      <c r="AT13" s="71">
        <f>COUNTIFS('NDMO Specs. Overview'!$B$1:$B$194,$AS13&amp;".*", 'NDMO Specs. Overview'!$E$1:$E$194, Calculation!AT$3, 'NDMO Specs. Overview'!$F$1:$F$194, Calculation!$AT$2)</f>
        <v>1</v>
      </c>
      <c r="AU13" s="71">
        <f>COUNTIFS('NDMO Specs. Overview'!$B$1:$B$194,$AS13&amp;".*", 'NDMO Specs. Overview'!$E$1:$E$194, Calculation!AU$3, 'NDMO Specs. Overview'!$F$1:$F$194, Calculation!$AT$2)</f>
        <v>5</v>
      </c>
      <c r="AV13" s="71">
        <f>COUNTIFS('NDMO Specs. Overview'!$B$1:$B$194,$AS13&amp;".*", 'NDMO Specs. Overview'!$E$1:$E$194, Calculation!AV$3, 'NDMO Specs. Overview'!$F$1:$F$194, Calculation!$AT$2)</f>
        <v>1</v>
      </c>
      <c r="AW13" s="71">
        <f>COUNTIFS('NDMO Specs. Overview'!$B$1:$B$194,$AS13&amp;".*", 'NDMO Specs. Overview'!$E$1:$E$194, Calculation!AW$3, 'NDMO Specs. Overview'!$F$1:$F$194, $AW$2)</f>
        <v>0</v>
      </c>
      <c r="AX13" s="71">
        <f>COUNTIFS('NDMO Specs. Overview'!$B$1:$B$194,$AS13&amp;".*", 'NDMO Specs. Overview'!$E$1:$E$194, Calculation!AX$3, 'NDMO Specs. Overview'!$F$1:$F$194, $AW$2)</f>
        <v>0</v>
      </c>
      <c r="AY13" s="71">
        <f>COUNTIFS('NDMO Specs. Overview'!$B$1:$B$194,$AS13&amp;".*", 'NDMO Specs. Overview'!$E$1:$E$194, Calculation!AY$3, 'NDMO Specs. Overview'!$F$1:$F$194, $AW$2)</f>
        <v>0</v>
      </c>
      <c r="AZ13" s="71">
        <f>COUNTIFS('NDMO Specs. Overview'!$B$1:$B$194,$AS13&amp;".*", 'NDMO Specs. Overview'!$E$1:$E$194, Calculation!AZ$3, 'NDMO Specs. Overview'!$F$1:$F$194, $AZ$2)</f>
        <v>1</v>
      </c>
      <c r="BA13" s="71">
        <f>COUNTIFS('NDMO Specs. Overview'!$B$1:$B$194,$AS13&amp;".*", 'NDMO Specs. Overview'!$E$1:$E$194, Calculation!BA$3, 'NDMO Specs. Overview'!$F$1:$F$194, $AZ$2)</f>
        <v>0</v>
      </c>
      <c r="BB13" s="150">
        <f>COUNTIFS('NDMO Specs. Overview'!$B$1:$B$194,$AS13&amp;".*", 'NDMO Specs. Overview'!$E$1:$E$194, Calculation!BB$3, 'NDMO Specs. Overview'!$F$1:$F$194, $AZ$2)</f>
        <v>0</v>
      </c>
      <c r="BD13" s="149" t="s">
        <v>1950</v>
      </c>
      <c r="BE13" s="70" t="s">
        <v>675</v>
      </c>
      <c r="BF13" s="85">
        <f t="shared" si="1"/>
        <v>0.88</v>
      </c>
      <c r="BG13" s="85">
        <f t="shared" si="10"/>
        <v>0</v>
      </c>
      <c r="BH13" s="85">
        <f t="shared" si="11"/>
        <v>0.13</v>
      </c>
      <c r="BI13" s="153">
        <f t="shared" si="12"/>
        <v>0.13</v>
      </c>
    </row>
    <row r="14" spans="1:66" ht="24.6" customHeight="1">
      <c r="B14" s="44" t="s">
        <v>411</v>
      </c>
      <c r="D14" s="36">
        <f>COUNTIFS(Master!$C$5:$C$542, Calculation!$B14, Master!$E$5:$E$542, Calculation!D$3)</f>
        <v>1</v>
      </c>
      <c r="E14" s="36">
        <f>COUNTIFS(Master!$C$5:$C$542, Calculation!$B14, Master!$E$5:$E$542, Calculation!E$3)</f>
        <v>4</v>
      </c>
      <c r="F14" s="36">
        <f>COUNTIFS(Master!$C$5:$C$542, Calculation!$B14, Master!$E$5:$E$542, Calculation!F$3)</f>
        <v>3</v>
      </c>
      <c r="G14" s="36">
        <f>COUNTIFS(Master!$C$5:$C$542, Calculation!$B14, Master!$E$5:$E$542, Calculation!G$3)</f>
        <v>1</v>
      </c>
      <c r="H14" s="36">
        <f>COUNTIFS(Master!$C$5:$C$542, Calculation!$B14, Master!$E$5:$E$542, Calculation!H$3)</f>
        <v>1</v>
      </c>
      <c r="I14" s="68">
        <f t="shared" si="2"/>
        <v>10</v>
      </c>
      <c r="K14" s="45" t="s">
        <v>411</v>
      </c>
      <c r="L14" s="37"/>
      <c r="M14" s="36">
        <f>COUNTIFS(Master!$C$5:$C$542, Calculation!$K14, Master!$E$5:$E$542, Calculation!M$3, Master!$L$5:$L$542, "Yes" )</f>
        <v>1</v>
      </c>
      <c r="N14" s="36">
        <f>COUNTIFS(Master!$C$5:$C$542, Calculation!$K14, Master!$E$5:$E$542, Calculation!N$3, Master!$L$5:$L$542, "Yes" )</f>
        <v>0</v>
      </c>
      <c r="O14" s="36">
        <f>COUNTIFS(Master!$C$5:$C$542, Calculation!$K14, Master!$E$5:$E$542, Calculation!O$3, Master!$L$5:$L$542, "Yes" )</f>
        <v>0</v>
      </c>
      <c r="P14" s="36">
        <f>COUNTIFS(Master!$C$5:$C$542, Calculation!$K14, Master!$E$5:$E$542, Calculation!P$3, Master!$L$5:$L$542, "Yes" )</f>
        <v>0</v>
      </c>
      <c r="Q14" s="36">
        <f>COUNTIFS(Master!$C$5:$C$542, Calculation!$K14, Master!$E$5:$E$542, Calculation!Q$3, Master!$L$5:$L$542, "Yes" )</f>
        <v>0</v>
      </c>
      <c r="R14" s="68">
        <f t="shared" si="3"/>
        <v>1</v>
      </c>
      <c r="T14" s="136" t="s">
        <v>411</v>
      </c>
      <c r="V14" s="134">
        <f t="shared" si="4"/>
        <v>1</v>
      </c>
      <c r="W14" s="134">
        <f t="shared" si="5"/>
        <v>0</v>
      </c>
      <c r="X14" s="134">
        <f t="shared" si="6"/>
        <v>0</v>
      </c>
      <c r="Y14" s="134">
        <f t="shared" si="7"/>
        <v>0</v>
      </c>
      <c r="Z14" s="134">
        <f t="shared" si="8"/>
        <v>0</v>
      </c>
      <c r="AA14" s="68">
        <f t="shared" si="9"/>
        <v>1</v>
      </c>
      <c r="AC14" s="119" t="s">
        <v>866</v>
      </c>
      <c r="AD14" s="36" t="s">
        <v>867</v>
      </c>
      <c r="AE14" s="120">
        <v>4.3900000000000002E-2</v>
      </c>
      <c r="AF14" s="79">
        <f>$AE14</f>
        <v>4.3900000000000002E-2</v>
      </c>
      <c r="AG14" s="87">
        <f>AG13/7</f>
        <v>1.4285714285714287E-2</v>
      </c>
      <c r="AI14" s="57"/>
      <c r="AK14" s="69" t="s">
        <v>1603</v>
      </c>
      <c r="AL14" s="70" t="s">
        <v>1604</v>
      </c>
      <c r="AM14" s="71">
        <v>5</v>
      </c>
      <c r="AN14" s="71">
        <v>4</v>
      </c>
      <c r="AO14" s="71">
        <v>1</v>
      </c>
      <c r="AP14" s="72">
        <v>10</v>
      </c>
      <c r="AR14" s="149" t="s">
        <v>1603</v>
      </c>
      <c r="AS14" s="70" t="s">
        <v>1604</v>
      </c>
      <c r="AT14" s="71">
        <f>COUNTIFS('NDMO Specs. Overview'!$B$1:$B$194,$AS14&amp;".*", 'NDMO Specs. Overview'!$E$1:$E$194, Calculation!AT$3, 'NDMO Specs. Overview'!$F$1:$F$194, Calculation!$AT$2)</f>
        <v>4</v>
      </c>
      <c r="AU14" s="71">
        <f>COUNTIFS('NDMO Specs. Overview'!$B$1:$B$194,$AS14&amp;".*", 'NDMO Specs. Overview'!$E$1:$E$194, Calculation!AU$3, 'NDMO Specs. Overview'!$F$1:$F$194, Calculation!$AT$2)</f>
        <v>4</v>
      </c>
      <c r="AV14" s="71">
        <f>COUNTIFS('NDMO Specs. Overview'!$B$1:$B$194,$AS14&amp;".*", 'NDMO Specs. Overview'!$E$1:$E$194, Calculation!AV$3, 'NDMO Specs. Overview'!$F$1:$F$194, Calculation!$AT$2)</f>
        <v>1</v>
      </c>
      <c r="AW14" s="71">
        <f>COUNTIFS('NDMO Specs. Overview'!$B$1:$B$194,$AS14&amp;".*", 'NDMO Specs. Overview'!$E$1:$E$194, Calculation!AW$3, 'NDMO Specs. Overview'!$F$1:$F$194, $AW$2)</f>
        <v>0</v>
      </c>
      <c r="AX14" s="71">
        <f>COUNTIFS('NDMO Specs. Overview'!$B$1:$B$194,$AS14&amp;".*", 'NDMO Specs. Overview'!$E$1:$E$194, Calculation!AX$3, 'NDMO Specs. Overview'!$F$1:$F$194, $AW$2)</f>
        <v>0</v>
      </c>
      <c r="AY14" s="71">
        <f>COUNTIFS('NDMO Specs. Overview'!$B$1:$B$194,$AS14&amp;".*", 'NDMO Specs. Overview'!$E$1:$E$194, Calculation!AY$3, 'NDMO Specs. Overview'!$F$1:$F$194, $AW$2)</f>
        <v>0</v>
      </c>
      <c r="AZ14" s="71">
        <f>COUNTIFS('NDMO Specs. Overview'!$B$1:$B$194,$AS14&amp;".*", 'NDMO Specs. Overview'!$E$1:$E$194, Calculation!AZ$3, 'NDMO Specs. Overview'!$F$1:$F$194, $AZ$2)</f>
        <v>1</v>
      </c>
      <c r="BA14" s="71">
        <f>COUNTIFS('NDMO Specs. Overview'!$B$1:$B$194,$AS14&amp;".*", 'NDMO Specs. Overview'!$E$1:$E$194, Calculation!BA$3, 'NDMO Specs. Overview'!$F$1:$F$194, $AZ$2)</f>
        <v>0</v>
      </c>
      <c r="BB14" s="150">
        <f>COUNTIFS('NDMO Specs. Overview'!$B$1:$B$194,$AS14&amp;".*", 'NDMO Specs. Overview'!$E$1:$E$194, Calculation!BB$3, 'NDMO Specs. Overview'!$F$1:$F$194, $AZ$2)</f>
        <v>0</v>
      </c>
      <c r="BD14" s="149" t="s">
        <v>1603</v>
      </c>
      <c r="BE14" s="70" t="s">
        <v>1604</v>
      </c>
      <c r="BF14" s="85">
        <f t="shared" si="1"/>
        <v>0.9</v>
      </c>
      <c r="BG14" s="85">
        <f t="shared" si="10"/>
        <v>0</v>
      </c>
      <c r="BH14" s="85">
        <f t="shared" si="11"/>
        <v>0.1</v>
      </c>
      <c r="BI14" s="153">
        <f t="shared" si="12"/>
        <v>0.1</v>
      </c>
    </row>
    <row r="15" spans="1:66" ht="24.6" customHeight="1">
      <c r="B15" s="42" t="s">
        <v>445</v>
      </c>
      <c r="D15" s="36">
        <f>COUNTIFS(Master!$C$5:$C$542, Calculation!$B15, Master!$E$5:$E$542, Calculation!D$3)</f>
        <v>1</v>
      </c>
      <c r="E15" s="36">
        <f>COUNTIFS(Master!$C$5:$C$542, Calculation!$B15, Master!$E$5:$E$542, Calculation!E$3)</f>
        <v>1</v>
      </c>
      <c r="F15" s="36">
        <f>COUNTIFS(Master!$C$5:$C$542, Calculation!$B15, Master!$E$5:$E$542, Calculation!F$3)</f>
        <v>3</v>
      </c>
      <c r="G15" s="36">
        <f>COUNTIFS(Master!$C$5:$C$542, Calculation!$B15, Master!$E$5:$E$542, Calculation!G$3)</f>
        <v>1</v>
      </c>
      <c r="H15" s="36">
        <f>COUNTIFS(Master!$C$5:$C$542, Calculation!$B15, Master!$E$5:$E$542, Calculation!H$3)</f>
        <v>1</v>
      </c>
      <c r="I15" s="68">
        <f t="shared" si="2"/>
        <v>7</v>
      </c>
      <c r="K15" s="45" t="s">
        <v>445</v>
      </c>
      <c r="L15" s="37"/>
      <c r="M15" s="36">
        <f>COUNTIFS(Master!$C$5:$C$542, Calculation!$K15, Master!$E$5:$E$542, Calculation!M$3, Master!$L$5:$L$542, "Yes" )</f>
        <v>1</v>
      </c>
      <c r="N15" s="36">
        <f>COUNTIFS(Master!$C$5:$C$542, Calculation!$K15, Master!$E$5:$E$542, Calculation!N$3, Master!$L$5:$L$542, "Yes" )</f>
        <v>1</v>
      </c>
      <c r="O15" s="36">
        <f>COUNTIFS(Master!$C$5:$C$542, Calculation!$K15, Master!$E$5:$E$542, Calculation!O$3, Master!$L$5:$L$542, "Yes" )</f>
        <v>0</v>
      </c>
      <c r="P15" s="36">
        <f>COUNTIFS(Master!$C$5:$C$542, Calculation!$K15, Master!$E$5:$E$542, Calculation!P$3, Master!$L$5:$L$542, "Yes" )</f>
        <v>0</v>
      </c>
      <c r="Q15" s="36">
        <f>COUNTIFS(Master!$C$5:$C$542, Calculation!$K15, Master!$E$5:$E$542, Calculation!Q$3, Master!$L$5:$L$542, "Yes" )</f>
        <v>0</v>
      </c>
      <c r="R15" s="68">
        <f t="shared" si="3"/>
        <v>2</v>
      </c>
      <c r="T15" s="135" t="s">
        <v>445</v>
      </c>
      <c r="V15" s="134">
        <f t="shared" si="4"/>
        <v>1</v>
      </c>
      <c r="W15" s="134">
        <f t="shared" si="5"/>
        <v>1</v>
      </c>
      <c r="X15" s="134">
        <f t="shared" si="6"/>
        <v>0</v>
      </c>
      <c r="Y15" s="134">
        <f t="shared" si="7"/>
        <v>0</v>
      </c>
      <c r="Z15" s="134">
        <f t="shared" si="8"/>
        <v>0</v>
      </c>
      <c r="AA15" s="68">
        <f t="shared" si="9"/>
        <v>2</v>
      </c>
      <c r="AC15" s="119" t="s">
        <v>1950</v>
      </c>
      <c r="AD15" s="36" t="s">
        <v>675</v>
      </c>
      <c r="AE15" s="120">
        <v>3.6799999999999999E-2</v>
      </c>
      <c r="AF15" s="79">
        <f>$AE15</f>
        <v>3.6799999999999999E-2</v>
      </c>
      <c r="AG15" s="79"/>
      <c r="AI15" s="57"/>
      <c r="AK15" s="69" t="s">
        <v>1528</v>
      </c>
      <c r="AL15" s="70" t="s">
        <v>1529</v>
      </c>
      <c r="AM15" s="71">
        <v>4</v>
      </c>
      <c r="AN15" s="71">
        <v>3</v>
      </c>
      <c r="AO15" s="71">
        <v>2</v>
      </c>
      <c r="AP15" s="72">
        <v>9</v>
      </c>
      <c r="AR15" s="149" t="s">
        <v>1528</v>
      </c>
      <c r="AS15" s="70" t="s">
        <v>1529</v>
      </c>
      <c r="AT15" s="71">
        <f>COUNTIFS('NDMO Specs. Overview'!$B$1:$B$194,$AS15&amp;".*", 'NDMO Specs. Overview'!$E$1:$E$194, Calculation!AT$3, 'NDMO Specs. Overview'!$F$1:$F$194, Calculation!$AT$2)</f>
        <v>4</v>
      </c>
      <c r="AU15" s="71">
        <f>COUNTIFS('NDMO Specs. Overview'!$B$1:$B$194,$AS15&amp;".*", 'NDMO Specs. Overview'!$E$1:$E$194, Calculation!AU$3, 'NDMO Specs. Overview'!$F$1:$F$194, Calculation!$AT$2)</f>
        <v>3</v>
      </c>
      <c r="AV15" s="71">
        <f>COUNTIFS('NDMO Specs. Overview'!$B$1:$B$194,$AS15&amp;".*", 'NDMO Specs. Overview'!$E$1:$E$194, Calculation!AV$3, 'NDMO Specs. Overview'!$F$1:$F$194, Calculation!$AT$2)</f>
        <v>2</v>
      </c>
      <c r="AW15" s="71">
        <f>COUNTIFS('NDMO Specs. Overview'!$B$1:$B$194,$AS15&amp;".*", 'NDMO Specs. Overview'!$E$1:$E$194, Calculation!AW$3, 'NDMO Specs. Overview'!$F$1:$F$194, $AW$2)</f>
        <v>0</v>
      </c>
      <c r="AX15" s="71">
        <f>COUNTIFS('NDMO Specs. Overview'!$B$1:$B$194,$AS15&amp;".*", 'NDMO Specs. Overview'!$E$1:$E$194, Calculation!AX$3, 'NDMO Specs. Overview'!$F$1:$F$194, $AW$2)</f>
        <v>0</v>
      </c>
      <c r="AY15" s="71">
        <f>COUNTIFS('NDMO Specs. Overview'!$B$1:$B$194,$AS15&amp;".*", 'NDMO Specs. Overview'!$E$1:$E$194, Calculation!AY$3, 'NDMO Specs. Overview'!$F$1:$F$194, $AW$2)</f>
        <v>0</v>
      </c>
      <c r="AZ15" s="71">
        <f>COUNTIFS('NDMO Specs. Overview'!$B$1:$B$194,$AS15&amp;".*", 'NDMO Specs. Overview'!$E$1:$E$194, Calculation!AZ$3, 'NDMO Specs. Overview'!$F$1:$F$194, $AZ$2)</f>
        <v>0</v>
      </c>
      <c r="BA15" s="71">
        <f>COUNTIFS('NDMO Specs. Overview'!$B$1:$B$194,$AS15&amp;".*", 'NDMO Specs. Overview'!$E$1:$E$194, Calculation!BA$3, 'NDMO Specs. Overview'!$F$1:$F$194, $AZ$2)</f>
        <v>0</v>
      </c>
      <c r="BB15" s="150">
        <f>COUNTIFS('NDMO Specs. Overview'!$B$1:$B$194,$AS15&amp;".*", 'NDMO Specs. Overview'!$E$1:$E$194, Calculation!BB$3, 'NDMO Specs. Overview'!$F$1:$F$194, $AZ$2)</f>
        <v>0</v>
      </c>
      <c r="BD15" s="149" t="s">
        <v>1528</v>
      </c>
      <c r="BE15" s="70" t="s">
        <v>1529</v>
      </c>
      <c r="BF15" s="85">
        <f t="shared" si="1"/>
        <v>1</v>
      </c>
      <c r="BG15" s="85">
        <f t="shared" si="10"/>
        <v>0</v>
      </c>
      <c r="BH15" s="85">
        <f t="shared" si="11"/>
        <v>0</v>
      </c>
      <c r="BI15" s="153">
        <f t="shared" si="12"/>
        <v>0</v>
      </c>
    </row>
    <row r="16" spans="1:66" ht="24.6" customHeight="1">
      <c r="B16" s="42" t="s">
        <v>468</v>
      </c>
      <c r="D16" s="36">
        <f>COUNTIFS(Master!$C$5:$C$542, Calculation!$B16, Master!$E$5:$E$542, Calculation!D$3)</f>
        <v>3</v>
      </c>
      <c r="E16" s="36">
        <f>COUNTIFS(Master!$C$5:$C$542, Calculation!$B16, Master!$E$5:$E$542, Calculation!E$3)</f>
        <v>4</v>
      </c>
      <c r="F16" s="36">
        <f>COUNTIFS(Master!$C$5:$C$542, Calculation!$B16, Master!$E$5:$E$542, Calculation!F$3)</f>
        <v>5</v>
      </c>
      <c r="G16" s="36">
        <f>COUNTIFS(Master!$C$5:$C$542, Calculation!$B16, Master!$E$5:$E$542, Calculation!G$3)</f>
        <v>3</v>
      </c>
      <c r="H16" s="36">
        <f>COUNTIFS(Master!$C$5:$C$542, Calculation!$B16, Master!$E$5:$E$542, Calculation!H$3)</f>
        <v>3</v>
      </c>
      <c r="I16" s="68">
        <f t="shared" si="2"/>
        <v>18</v>
      </c>
      <c r="K16" s="45" t="s">
        <v>468</v>
      </c>
      <c r="L16" s="37"/>
      <c r="M16" s="36">
        <f>COUNTIFS(Master!$C$5:$C$542, Calculation!$K16, Master!$E$5:$E$542, Calculation!M$3, Master!$L$5:$L$542, "Yes" )</f>
        <v>1</v>
      </c>
      <c r="N16" s="36">
        <f>COUNTIFS(Master!$C$5:$C$542, Calculation!$K16, Master!$E$5:$E$542, Calculation!N$3, Master!$L$5:$L$542, "Yes" )</f>
        <v>0</v>
      </c>
      <c r="O16" s="36">
        <f>COUNTIFS(Master!$C$5:$C$542, Calculation!$K16, Master!$E$5:$E$542, Calculation!O$3, Master!$L$5:$L$542, "Yes" )</f>
        <v>0</v>
      </c>
      <c r="P16" s="36">
        <f>COUNTIFS(Master!$C$5:$C$542, Calculation!$K16, Master!$E$5:$E$542, Calculation!P$3, Master!$L$5:$L$542, "Yes" )</f>
        <v>0</v>
      </c>
      <c r="Q16" s="36">
        <f>COUNTIFS(Master!$C$5:$C$542, Calculation!$K16, Master!$E$5:$E$542, Calculation!Q$3, Master!$L$5:$L$542, "Yes" )</f>
        <v>0</v>
      </c>
      <c r="R16" s="68">
        <f t="shared" si="3"/>
        <v>1</v>
      </c>
      <c r="T16" s="135" t="s">
        <v>468</v>
      </c>
      <c r="V16" s="134">
        <f t="shared" si="4"/>
        <v>0.33333333333333331</v>
      </c>
      <c r="W16" s="134">
        <f t="shared" si="5"/>
        <v>0</v>
      </c>
      <c r="X16" s="134">
        <f t="shared" si="6"/>
        <v>0</v>
      </c>
      <c r="Y16" s="134">
        <f t="shared" si="7"/>
        <v>0</v>
      </c>
      <c r="Z16" s="134">
        <f t="shared" si="8"/>
        <v>0</v>
      </c>
      <c r="AA16" s="68">
        <f t="shared" si="9"/>
        <v>0</v>
      </c>
      <c r="AC16" s="119" t="s">
        <v>1528</v>
      </c>
      <c r="AD16" s="36" t="s">
        <v>1529</v>
      </c>
      <c r="AE16" s="120">
        <v>3.5099999999999999E-2</v>
      </c>
      <c r="AF16" s="79">
        <v>0</v>
      </c>
      <c r="AI16" s="57"/>
      <c r="AK16" s="69" t="s">
        <v>195</v>
      </c>
      <c r="AL16" s="70" t="s">
        <v>196</v>
      </c>
      <c r="AM16" s="71">
        <v>6</v>
      </c>
      <c r="AN16" s="71">
        <v>4</v>
      </c>
      <c r="AO16" s="71">
        <v>0</v>
      </c>
      <c r="AP16" s="72">
        <v>10</v>
      </c>
      <c r="AR16" s="149" t="s">
        <v>195</v>
      </c>
      <c r="AS16" s="70" t="s">
        <v>196</v>
      </c>
      <c r="AT16" s="71">
        <f>COUNTIFS('NDMO Specs. Overview'!$B$1:$B$194,$AS16&amp;".*", 'NDMO Specs. Overview'!$E$1:$E$194, Calculation!AT$3, 'NDMO Specs. Overview'!$F$1:$F$194, Calculation!$AT$2)</f>
        <v>0</v>
      </c>
      <c r="AU16" s="71">
        <f>COUNTIFS('NDMO Specs. Overview'!$B$1:$B$194,$AS16&amp;".*", 'NDMO Specs. Overview'!$E$1:$E$194, Calculation!AU$3, 'NDMO Specs. Overview'!$F$1:$F$194, Calculation!$AT$2)</f>
        <v>2</v>
      </c>
      <c r="AV16" s="71">
        <f>COUNTIFS('NDMO Specs. Overview'!$B$1:$B$194,$AS16&amp;".*", 'NDMO Specs. Overview'!$E$1:$E$194, Calculation!AV$3, 'NDMO Specs. Overview'!$F$1:$F$194, Calculation!$AT$2)</f>
        <v>0</v>
      </c>
      <c r="AW16" s="71">
        <f>COUNTIFS('NDMO Specs. Overview'!$B$1:$B$194,$AS16&amp;".*", 'NDMO Specs. Overview'!$E$1:$E$194, Calculation!AW$3, 'NDMO Specs. Overview'!$F$1:$F$194, $AW$2)</f>
        <v>1</v>
      </c>
      <c r="AX16" s="71">
        <f>COUNTIFS('NDMO Specs. Overview'!$B$1:$B$194,$AS16&amp;".*", 'NDMO Specs. Overview'!$E$1:$E$194, Calculation!AX$3, 'NDMO Specs. Overview'!$F$1:$F$194, $AW$2)</f>
        <v>1</v>
      </c>
      <c r="AY16" s="71">
        <f>COUNTIFS('NDMO Specs. Overview'!$B$1:$B$194,$AS16&amp;".*", 'NDMO Specs. Overview'!$E$1:$E$194, Calculation!AY$3, 'NDMO Specs. Overview'!$F$1:$F$194, $AW$2)</f>
        <v>0</v>
      </c>
      <c r="AZ16" s="71">
        <f>COUNTIFS('NDMO Specs. Overview'!$B$1:$B$194,$AS16&amp;".*", 'NDMO Specs. Overview'!$E$1:$E$194, Calculation!AZ$3, 'NDMO Specs. Overview'!$F$1:$F$194, $AZ$2)</f>
        <v>5</v>
      </c>
      <c r="BA16" s="71">
        <f>COUNTIFS('NDMO Specs. Overview'!$B$1:$B$194,$AS16&amp;".*", 'NDMO Specs. Overview'!$E$1:$E$194, Calculation!BA$3, 'NDMO Specs. Overview'!$F$1:$F$194, $AZ$2)</f>
        <v>1</v>
      </c>
      <c r="BB16" s="150">
        <f>COUNTIFS('NDMO Specs. Overview'!$B$1:$B$194,$AS16&amp;".*", 'NDMO Specs. Overview'!$E$1:$E$194, Calculation!BB$3, 'NDMO Specs. Overview'!$F$1:$F$194, $AZ$2)</f>
        <v>0</v>
      </c>
      <c r="BD16" s="149" t="s">
        <v>195</v>
      </c>
      <c r="BE16" s="70" t="s">
        <v>196</v>
      </c>
      <c r="BF16" s="85">
        <f t="shared" si="1"/>
        <v>0.2</v>
      </c>
      <c r="BG16" s="85">
        <f>ROUND(SUM(AW16:AY16)/SUM($AT16:$BB16),2)</f>
        <v>0.2</v>
      </c>
      <c r="BH16" s="85">
        <f t="shared" si="11"/>
        <v>0.6</v>
      </c>
      <c r="BI16" s="153">
        <f t="shared" si="12"/>
        <v>0.6</v>
      </c>
    </row>
    <row r="17" spans="2:66" ht="24.6" customHeight="1" thickBot="1">
      <c r="B17" s="42" t="s">
        <v>530</v>
      </c>
      <c r="D17" s="36">
        <f>COUNTIFS(Master!$C$5:$C$542, Calculation!$B17, Master!$E$5:$E$542, Calculation!D$3)</f>
        <v>2</v>
      </c>
      <c r="E17" s="36">
        <f>COUNTIFS(Master!$C$5:$C$542, Calculation!$B17, Master!$E$5:$E$542, Calculation!E$3)</f>
        <v>2</v>
      </c>
      <c r="F17" s="36">
        <f>COUNTIFS(Master!$C$5:$C$542, Calculation!$B17, Master!$E$5:$E$542, Calculation!F$3)</f>
        <v>4</v>
      </c>
      <c r="G17" s="36">
        <f>COUNTIFS(Master!$C$5:$C$542, Calculation!$B17, Master!$E$5:$E$542, Calculation!G$3)</f>
        <v>1</v>
      </c>
      <c r="H17" s="36">
        <f>COUNTIFS(Master!$C$5:$C$542, Calculation!$B17, Master!$E$5:$E$542, Calculation!H$3)</f>
        <v>1</v>
      </c>
      <c r="I17" s="68">
        <f t="shared" si="2"/>
        <v>10</v>
      </c>
      <c r="K17" s="45" t="s">
        <v>530</v>
      </c>
      <c r="L17" s="37"/>
      <c r="M17" s="36">
        <f>COUNTIFS(Master!$C$5:$C$542, Calculation!$K17, Master!$E$5:$E$542, Calculation!M$3, Master!$L$5:$L$542, "Yes" )</f>
        <v>0</v>
      </c>
      <c r="N17" s="36">
        <f>COUNTIFS(Master!$C$5:$C$542, Calculation!$K17, Master!$E$5:$E$542, Calculation!N$3, Master!$L$5:$L$542, "Yes" )</f>
        <v>0</v>
      </c>
      <c r="O17" s="36">
        <f>COUNTIFS(Master!$C$5:$C$542, Calculation!$K17, Master!$E$5:$E$542, Calculation!O$3, Master!$L$5:$L$542, "Yes" )</f>
        <v>0</v>
      </c>
      <c r="P17" s="36">
        <f>COUNTIFS(Master!$C$5:$C$542, Calculation!$K17, Master!$E$5:$E$542, Calculation!P$3, Master!$L$5:$L$542, "Yes" )</f>
        <v>0</v>
      </c>
      <c r="Q17" s="36">
        <f>COUNTIFS(Master!$C$5:$C$542, Calculation!$K17, Master!$E$5:$E$542, Calculation!Q$3, Master!$L$5:$L$542, "Yes" )</f>
        <v>0</v>
      </c>
      <c r="R17" s="68">
        <f t="shared" si="3"/>
        <v>0</v>
      </c>
      <c r="T17" s="135" t="s">
        <v>530</v>
      </c>
      <c r="V17" s="134">
        <f t="shared" si="4"/>
        <v>0</v>
      </c>
      <c r="W17" s="134">
        <f t="shared" si="5"/>
        <v>0</v>
      </c>
      <c r="X17" s="134">
        <f t="shared" si="6"/>
        <v>0</v>
      </c>
      <c r="Y17" s="134">
        <f t="shared" si="7"/>
        <v>0</v>
      </c>
      <c r="Z17" s="134">
        <f t="shared" si="8"/>
        <v>0</v>
      </c>
      <c r="AA17" s="68">
        <f t="shared" si="9"/>
        <v>0</v>
      </c>
      <c r="AC17" s="121" t="s">
        <v>1833</v>
      </c>
      <c r="AD17" s="112" t="s">
        <v>745</v>
      </c>
      <c r="AE17" s="122">
        <v>3.1600000000000003E-2</v>
      </c>
      <c r="AF17" s="79">
        <f>$AE17</f>
        <v>3.1600000000000003E-2</v>
      </c>
      <c r="AG17" s="79"/>
      <c r="AI17" s="57"/>
      <c r="AK17" s="69" t="s">
        <v>2021</v>
      </c>
      <c r="AL17" s="70" t="s">
        <v>591</v>
      </c>
      <c r="AM17" s="71">
        <v>4</v>
      </c>
      <c r="AN17" s="71">
        <v>5</v>
      </c>
      <c r="AO17" s="71">
        <v>1</v>
      </c>
      <c r="AP17" s="73">
        <v>10</v>
      </c>
      <c r="AR17" s="149" t="s">
        <v>2021</v>
      </c>
      <c r="AS17" s="70" t="s">
        <v>591</v>
      </c>
      <c r="AT17" s="71">
        <f>COUNTIFS('NDMO Specs. Overview'!$B$1:$B$194,$AS17&amp;".*", 'NDMO Specs. Overview'!$E$1:$E$194, Calculation!AT$3, 'NDMO Specs. Overview'!$F$1:$F$194, Calculation!$AT$2)</f>
        <v>0</v>
      </c>
      <c r="AU17" s="71">
        <f>COUNTIFS('NDMO Specs. Overview'!$B$1:$B$194,$AS17&amp;".*", 'NDMO Specs. Overview'!$E$1:$E$194, Calculation!AU$3, 'NDMO Specs. Overview'!$F$1:$F$194, Calculation!$AT$2)</f>
        <v>2</v>
      </c>
      <c r="AV17" s="71">
        <f>COUNTIFS('NDMO Specs. Overview'!$B$1:$B$194,$AS17&amp;".*", 'NDMO Specs. Overview'!$E$1:$E$194, Calculation!AV$3, 'NDMO Specs. Overview'!$F$1:$F$194, Calculation!$AT$2)</f>
        <v>0</v>
      </c>
      <c r="AW17" s="71">
        <f>COUNTIFS('NDMO Specs. Overview'!$B$1:$B$194,$AS17&amp;".*", 'NDMO Specs. Overview'!$E$1:$E$194, Calculation!AW$3, 'NDMO Specs. Overview'!$F$1:$F$194, $AW$2)</f>
        <v>0</v>
      </c>
      <c r="AX17" s="71">
        <f>COUNTIFS('NDMO Specs. Overview'!$B$1:$B$194,$AS17&amp;".*", 'NDMO Specs. Overview'!$E$1:$E$194, Calculation!AX$3, 'NDMO Specs. Overview'!$F$1:$F$194, $AW$2)</f>
        <v>1</v>
      </c>
      <c r="AY17" s="71">
        <f>COUNTIFS('NDMO Specs. Overview'!$B$1:$B$194,$AS17&amp;".*", 'NDMO Specs. Overview'!$E$1:$E$194, Calculation!AY$3, 'NDMO Specs. Overview'!$F$1:$F$194, $AW$2)</f>
        <v>0</v>
      </c>
      <c r="AZ17" s="71">
        <f>COUNTIFS('NDMO Specs. Overview'!$B$1:$B$194,$AS17&amp;".*", 'NDMO Specs. Overview'!$E$1:$E$194, Calculation!AZ$3, 'NDMO Specs. Overview'!$F$1:$F$194, $AZ$2)</f>
        <v>4</v>
      </c>
      <c r="BA17" s="71">
        <f>COUNTIFS('NDMO Specs. Overview'!$B$1:$B$194,$AS17&amp;".*", 'NDMO Specs. Overview'!$E$1:$E$194, Calculation!BA$3, 'NDMO Specs. Overview'!$F$1:$F$194, $AZ$2)</f>
        <v>2</v>
      </c>
      <c r="BB17" s="150">
        <f>COUNTIFS('NDMO Specs. Overview'!$B$1:$B$194,$AS17&amp;".*", 'NDMO Specs. Overview'!$E$1:$E$194, Calculation!BB$3, 'NDMO Specs. Overview'!$F$1:$F$194, $AZ$2)</f>
        <v>1</v>
      </c>
      <c r="BD17" s="154" t="s">
        <v>2021</v>
      </c>
      <c r="BE17" s="155" t="s">
        <v>591</v>
      </c>
      <c r="BF17" s="156">
        <f t="shared" si="1"/>
        <v>0.2</v>
      </c>
      <c r="BG17" s="156">
        <f t="shared" si="10"/>
        <v>0.1</v>
      </c>
      <c r="BH17" s="156">
        <f t="shared" si="11"/>
        <v>0.7</v>
      </c>
      <c r="BI17" s="157">
        <f t="shared" si="12"/>
        <v>0.7</v>
      </c>
    </row>
    <row r="18" spans="2:66" ht="24.6" customHeight="1" thickBot="1">
      <c r="B18" s="42" t="s">
        <v>565</v>
      </c>
      <c r="D18" s="36">
        <f>COUNTIFS(Master!$C$5:$C$542, Calculation!$B18, Master!$E$5:$E$542, Calculation!D$3)</f>
        <v>1</v>
      </c>
      <c r="E18" s="36">
        <f>COUNTIFS(Master!$C$5:$C$542, Calculation!$B18, Master!$E$5:$E$542, Calculation!E$3)</f>
        <v>3</v>
      </c>
      <c r="F18" s="36">
        <f>COUNTIFS(Master!$C$5:$C$542, Calculation!$B18, Master!$E$5:$E$542, Calculation!F$3)</f>
        <v>2</v>
      </c>
      <c r="G18" s="36">
        <f>COUNTIFS(Master!$C$5:$C$542, Calculation!$B18, Master!$E$5:$E$542, Calculation!G$3)</f>
        <v>1</v>
      </c>
      <c r="H18" s="36">
        <f>COUNTIFS(Master!$C$5:$C$542, Calculation!$B18, Master!$E$5:$E$542, Calculation!H$3)</f>
        <v>1</v>
      </c>
      <c r="I18" s="68">
        <f t="shared" si="2"/>
        <v>8</v>
      </c>
      <c r="K18" s="45" t="s">
        <v>565</v>
      </c>
      <c r="L18" s="37"/>
      <c r="M18" s="36">
        <f>COUNTIFS(Master!$C$5:$C$542, Calculation!$K18, Master!$E$5:$E$542, Calculation!M$3, Master!$L$5:$L$542, "Yes" )</f>
        <v>0</v>
      </c>
      <c r="N18" s="36">
        <f>COUNTIFS(Master!$C$5:$C$542, Calculation!$K18, Master!$E$5:$E$542, Calculation!N$3, Master!$L$5:$L$542, "Yes" )</f>
        <v>0</v>
      </c>
      <c r="O18" s="36">
        <f>COUNTIFS(Master!$C$5:$C$542, Calculation!$K18, Master!$E$5:$E$542, Calculation!O$3, Master!$L$5:$L$542, "Yes" )</f>
        <v>0</v>
      </c>
      <c r="P18" s="36">
        <f>COUNTIFS(Master!$C$5:$C$542, Calculation!$K18, Master!$E$5:$E$542, Calculation!P$3, Master!$L$5:$L$542, "Yes" )</f>
        <v>0</v>
      </c>
      <c r="Q18" s="36">
        <f>COUNTIFS(Master!$C$5:$C$542, Calculation!$K18, Master!$E$5:$E$542, Calculation!Q$3, Master!$L$5:$L$542, "Yes" )</f>
        <v>0</v>
      </c>
      <c r="R18" s="68">
        <f t="shared" si="3"/>
        <v>0</v>
      </c>
      <c r="T18" s="135" t="s">
        <v>565</v>
      </c>
      <c r="V18" s="134">
        <f t="shared" si="4"/>
        <v>0</v>
      </c>
      <c r="W18" s="134">
        <f t="shared" si="5"/>
        <v>0</v>
      </c>
      <c r="X18" s="134">
        <f t="shared" si="6"/>
        <v>0</v>
      </c>
      <c r="Y18" s="134">
        <f t="shared" si="7"/>
        <v>0</v>
      </c>
      <c r="Z18" s="134">
        <f t="shared" si="8"/>
        <v>0</v>
      </c>
      <c r="AA18" s="68">
        <f t="shared" si="9"/>
        <v>0</v>
      </c>
      <c r="AE18" s="86"/>
      <c r="AF18" s="86"/>
      <c r="AI18" s="57"/>
      <c r="AK18" s="74"/>
      <c r="AL18" s="74" t="s">
        <v>2444</v>
      </c>
      <c r="AM18" s="75">
        <f>SUM(AM4:AM17)</f>
        <v>78</v>
      </c>
      <c r="AN18" s="75">
        <f>SUM(AN4:AN17)</f>
        <v>97</v>
      </c>
      <c r="AO18" s="75">
        <f>SUM(AO4:AO17)</f>
        <v>16</v>
      </c>
      <c r="AP18" s="76">
        <f>SUM(AP4:AP17)</f>
        <v>191</v>
      </c>
      <c r="AR18" s="234" t="s">
        <v>2450</v>
      </c>
      <c r="AS18" s="235"/>
      <c r="AT18" s="151">
        <f>SUM(AT4:AT17)</f>
        <v>32</v>
      </c>
      <c r="AU18" s="151">
        <f t="shared" ref="AU18:BB18" si="13">SUM(AU4:AU17)</f>
        <v>83</v>
      </c>
      <c r="AV18" s="151">
        <f t="shared" si="13"/>
        <v>14</v>
      </c>
      <c r="AW18" s="151">
        <f>SUM(AW4:AW17)</f>
        <v>13</v>
      </c>
      <c r="AX18" s="151">
        <f t="shared" si="13"/>
        <v>8</v>
      </c>
      <c r="AY18" s="151">
        <f t="shared" si="13"/>
        <v>1</v>
      </c>
      <c r="AZ18" s="151">
        <f t="shared" si="13"/>
        <v>33</v>
      </c>
      <c r="BA18" s="151">
        <f t="shared" si="13"/>
        <v>6</v>
      </c>
      <c r="BB18" s="152">
        <f t="shared" si="13"/>
        <v>1</v>
      </c>
    </row>
    <row r="19" spans="2:66" ht="24.6" customHeight="1" thickBot="1">
      <c r="B19" s="42" t="s">
        <v>592</v>
      </c>
      <c r="D19" s="36">
        <f>COUNTIFS(Master!$C$5:$C$542, Calculation!$B19, Master!$E$5:$E$542, Calculation!D$3)</f>
        <v>2</v>
      </c>
      <c r="E19" s="36">
        <f>COUNTIFS(Master!$C$5:$C$542, Calculation!$B19, Master!$E$5:$E$542, Calculation!E$3)</f>
        <v>2</v>
      </c>
      <c r="F19" s="36">
        <f>COUNTIFS(Master!$C$5:$C$542, Calculation!$B19, Master!$E$5:$E$542, Calculation!F$3)</f>
        <v>2</v>
      </c>
      <c r="G19" s="36">
        <f>COUNTIFS(Master!$C$5:$C$542, Calculation!$B19, Master!$E$5:$E$542, Calculation!G$3)</f>
        <v>1</v>
      </c>
      <c r="H19" s="36">
        <f>COUNTIFS(Master!$C$5:$C$542, Calculation!$B19, Master!$E$5:$E$542, Calculation!H$3)</f>
        <v>1</v>
      </c>
      <c r="I19" s="68">
        <f t="shared" si="2"/>
        <v>8</v>
      </c>
      <c r="K19" s="45" t="s">
        <v>592</v>
      </c>
      <c r="L19" s="37"/>
      <c r="M19" s="36">
        <f>COUNTIFS(Master!$C$5:$C$542, Calculation!$K19, Master!$E$5:$E$542, Calculation!M$3, Master!$L$5:$L$542, "Yes" )</f>
        <v>2</v>
      </c>
      <c r="N19" s="36">
        <f>COUNTIFS(Master!$C$5:$C$542, Calculation!$K19, Master!$E$5:$E$542, Calculation!N$3, Master!$L$5:$L$542, "Yes" )</f>
        <v>1</v>
      </c>
      <c r="O19" s="36">
        <f>COUNTIFS(Master!$C$5:$C$542, Calculation!$K19, Master!$E$5:$E$542, Calculation!O$3, Master!$L$5:$L$542, "Yes" )</f>
        <v>1</v>
      </c>
      <c r="P19" s="36">
        <f>COUNTIFS(Master!$C$5:$C$542, Calculation!$K19, Master!$E$5:$E$542, Calculation!P$3, Master!$L$5:$L$542, "Yes" )</f>
        <v>0</v>
      </c>
      <c r="Q19" s="36">
        <f>COUNTIFS(Master!$C$5:$C$542, Calculation!$K19, Master!$E$5:$E$542, Calculation!Q$3, Master!$L$5:$L$542, "Yes" )</f>
        <v>0</v>
      </c>
      <c r="R19" s="68">
        <f t="shared" si="3"/>
        <v>4</v>
      </c>
      <c r="T19" s="135" t="s">
        <v>592</v>
      </c>
      <c r="V19" s="134">
        <f t="shared" si="4"/>
        <v>1</v>
      </c>
      <c r="W19" s="134">
        <f t="shared" si="5"/>
        <v>0.5</v>
      </c>
      <c r="X19" s="134">
        <f t="shared" si="6"/>
        <v>0.5</v>
      </c>
      <c r="Y19" s="134">
        <f t="shared" si="7"/>
        <v>0</v>
      </c>
      <c r="Z19" s="134">
        <f t="shared" si="8"/>
        <v>0</v>
      </c>
      <c r="AA19" s="68">
        <f t="shared" si="9"/>
        <v>1</v>
      </c>
      <c r="AI19" s="57"/>
    </row>
    <row r="20" spans="2:66" ht="24.6" customHeight="1">
      <c r="B20" s="42" t="s">
        <v>619</v>
      </c>
      <c r="D20" s="36">
        <f>COUNTIFS(Master!$C$5:$C$542, Calculation!$B20, Master!$E$5:$E$542, Calculation!D$3)</f>
        <v>1</v>
      </c>
      <c r="E20" s="36">
        <f>COUNTIFS(Master!$C$5:$C$542, Calculation!$B20, Master!$E$5:$E$542, Calculation!E$3)</f>
        <v>5</v>
      </c>
      <c r="F20" s="36">
        <f>COUNTIFS(Master!$C$5:$C$542, Calculation!$B20, Master!$E$5:$E$542, Calculation!F$3)</f>
        <v>6</v>
      </c>
      <c r="G20" s="36">
        <f>COUNTIFS(Master!$C$5:$C$542, Calculation!$B20, Master!$E$5:$E$542, Calculation!G$3)</f>
        <v>2</v>
      </c>
      <c r="H20" s="36">
        <f>COUNTIFS(Master!$C$5:$C$542, Calculation!$B20, Master!$E$5:$E$542, Calculation!H$3)</f>
        <v>2</v>
      </c>
      <c r="I20" s="68">
        <f t="shared" si="2"/>
        <v>16</v>
      </c>
      <c r="K20" s="45" t="s">
        <v>619</v>
      </c>
      <c r="L20" s="37"/>
      <c r="M20" s="36">
        <f>COUNTIFS(Master!$C$5:$C$542, Calculation!$K20, Master!$E$5:$E$542, Calculation!M$3, Master!$L$5:$L$542, "Yes" )</f>
        <v>1</v>
      </c>
      <c r="N20" s="36">
        <f>COUNTIFS(Master!$C$5:$C$542, Calculation!$K20, Master!$E$5:$E$542, Calculation!N$3, Master!$L$5:$L$542, "Yes" )</f>
        <v>3</v>
      </c>
      <c r="O20" s="36">
        <f>COUNTIFS(Master!$C$5:$C$542, Calculation!$K20, Master!$E$5:$E$542, Calculation!O$3, Master!$L$5:$L$542, "Yes" )</f>
        <v>1</v>
      </c>
      <c r="P20" s="36">
        <f>COUNTIFS(Master!$C$5:$C$542, Calculation!$K20, Master!$E$5:$E$542, Calculation!P$3, Master!$L$5:$L$542, "Yes" )</f>
        <v>0</v>
      </c>
      <c r="Q20" s="36">
        <f>COUNTIFS(Master!$C$5:$C$542, Calculation!$K20, Master!$E$5:$E$542, Calculation!Q$3, Master!$L$5:$L$542, "Yes" )</f>
        <v>0</v>
      </c>
      <c r="R20" s="68">
        <f t="shared" si="3"/>
        <v>5</v>
      </c>
      <c r="T20" s="135" t="s">
        <v>619</v>
      </c>
      <c r="V20" s="134">
        <f t="shared" si="4"/>
        <v>1</v>
      </c>
      <c r="W20" s="134">
        <f t="shared" si="5"/>
        <v>0.6</v>
      </c>
      <c r="X20" s="134">
        <f t="shared" si="6"/>
        <v>0.16666666666666666</v>
      </c>
      <c r="Y20" s="134">
        <f t="shared" si="7"/>
        <v>0</v>
      </c>
      <c r="Z20" s="134">
        <f t="shared" si="8"/>
        <v>0</v>
      </c>
      <c r="AA20" s="68">
        <f t="shared" si="9"/>
        <v>1</v>
      </c>
      <c r="AF20" s="80"/>
      <c r="AI20" s="57"/>
      <c r="AR20" s="144" t="s">
        <v>2451</v>
      </c>
      <c r="AS20" s="146"/>
      <c r="AT20" s="146"/>
      <c r="AU20" s="146"/>
      <c r="AV20" s="146"/>
      <c r="AW20" s="146"/>
      <c r="AX20" s="146"/>
      <c r="AY20" s="146"/>
      <c r="AZ20" s="146"/>
      <c r="BA20" s="146"/>
      <c r="BB20" s="147"/>
      <c r="BD20" s="144" t="s">
        <v>2452</v>
      </c>
      <c r="BE20" s="146"/>
      <c r="BF20" s="146"/>
      <c r="BG20" s="146"/>
      <c r="BH20" s="146"/>
      <c r="BI20" s="147"/>
      <c r="BK20" s="144" t="s">
        <v>2453</v>
      </c>
      <c r="BL20" s="166"/>
      <c r="BM20" s="166"/>
      <c r="BN20" s="167"/>
    </row>
    <row r="21" spans="2:66" ht="24.6" customHeight="1">
      <c r="B21" s="42" t="s">
        <v>676</v>
      </c>
      <c r="D21" s="36">
        <f>COUNTIFS(Master!$C$5:$C$542, Calculation!$B21, Master!$E$5:$E$542, Calculation!D$3)</f>
        <v>1</v>
      </c>
      <c r="E21" s="36">
        <f>COUNTIFS(Master!$C$5:$C$542, Calculation!$B21, Master!$E$5:$E$542, Calculation!E$3)</f>
        <v>3</v>
      </c>
      <c r="F21" s="36">
        <f>COUNTIFS(Master!$C$5:$C$542, Calculation!$B21, Master!$E$5:$E$542, Calculation!F$3)</f>
        <v>3</v>
      </c>
      <c r="G21" s="36">
        <f>COUNTIFS(Master!$C$5:$C$542, Calculation!$B21, Master!$E$5:$E$542, Calculation!G$3)</f>
        <v>2</v>
      </c>
      <c r="H21" s="36">
        <f>COUNTIFS(Master!$C$5:$C$542, Calculation!$B21, Master!$E$5:$E$542, Calculation!H$3)</f>
        <v>3</v>
      </c>
      <c r="I21" s="68">
        <f t="shared" si="2"/>
        <v>12</v>
      </c>
      <c r="K21" s="45" t="s">
        <v>676</v>
      </c>
      <c r="L21" s="37"/>
      <c r="M21" s="36">
        <f>COUNTIFS(Master!$C$5:$C$542, Calculation!$K21, Master!$E$5:$E$542, Calculation!M$3, Master!$L$5:$L$542, "Yes" )</f>
        <v>0</v>
      </c>
      <c r="N21" s="36">
        <f>COUNTIFS(Master!$C$5:$C$542, Calculation!$K21, Master!$E$5:$E$542, Calculation!N$3, Master!$L$5:$L$542, "Yes" )</f>
        <v>1</v>
      </c>
      <c r="O21" s="36">
        <f>COUNTIFS(Master!$C$5:$C$542, Calculation!$K21, Master!$E$5:$E$542, Calculation!O$3, Master!$L$5:$L$542, "Yes" )</f>
        <v>0</v>
      </c>
      <c r="P21" s="36">
        <f>COUNTIFS(Master!$C$5:$C$542, Calculation!$K21, Master!$E$5:$E$542, Calculation!P$3, Master!$L$5:$L$542, "Yes" )</f>
        <v>0</v>
      </c>
      <c r="Q21" s="36">
        <f>COUNTIFS(Master!$C$5:$C$542, Calculation!$K21, Master!$E$5:$E$542, Calculation!Q$3, Master!$L$5:$L$542, "Yes" )</f>
        <v>0</v>
      </c>
      <c r="R21" s="68">
        <f t="shared" si="3"/>
        <v>1</v>
      </c>
      <c r="T21" s="135" t="s">
        <v>676</v>
      </c>
      <c r="V21" s="134">
        <f t="shared" si="4"/>
        <v>0</v>
      </c>
      <c r="W21" s="134">
        <f t="shared" si="5"/>
        <v>0.33333333333333331</v>
      </c>
      <c r="X21" s="134">
        <f t="shared" si="6"/>
        <v>0</v>
      </c>
      <c r="Y21" s="134">
        <f t="shared" si="7"/>
        <v>0</v>
      </c>
      <c r="Z21" s="134">
        <f t="shared" si="8"/>
        <v>0</v>
      </c>
      <c r="AA21" s="68">
        <f t="shared" si="9"/>
        <v>0</v>
      </c>
      <c r="AF21" s="36"/>
      <c r="AI21" s="57"/>
      <c r="AR21" s="236" t="s">
        <v>1723</v>
      </c>
      <c r="AS21" s="237" t="s">
        <v>3</v>
      </c>
      <c r="AT21" s="238" t="s">
        <v>2433</v>
      </c>
      <c r="AU21" s="239"/>
      <c r="AV21" s="240"/>
      <c r="AW21" s="241" t="s">
        <v>2432</v>
      </c>
      <c r="AX21" s="242"/>
      <c r="AY21" s="243"/>
      <c r="AZ21" s="244" t="s">
        <v>2431</v>
      </c>
      <c r="BA21" s="245"/>
      <c r="BB21" s="246"/>
      <c r="BD21" s="236" t="s">
        <v>1723</v>
      </c>
      <c r="BE21" s="254" t="s">
        <v>3</v>
      </c>
      <c r="BF21" s="255" t="s">
        <v>2433</v>
      </c>
      <c r="BG21" s="256" t="s">
        <v>2432</v>
      </c>
      <c r="BH21" s="257" t="s">
        <v>2431</v>
      </c>
      <c r="BI21" s="232" t="s">
        <v>2445</v>
      </c>
      <c r="BK21" s="175" t="s">
        <v>2433</v>
      </c>
      <c r="BL21" s="177" t="s">
        <v>2432</v>
      </c>
      <c r="BM21" s="178" t="s">
        <v>2431</v>
      </c>
      <c r="BN21" s="163" t="s">
        <v>2445</v>
      </c>
    </row>
    <row r="22" spans="2:66" ht="24.6" customHeight="1">
      <c r="B22" s="42" t="s">
        <v>717</v>
      </c>
      <c r="D22" s="36">
        <f>COUNTIFS(Master!$C$5:$C$542, Calculation!$B22, Master!$E$5:$E$542, Calculation!D$3)</f>
        <v>1</v>
      </c>
      <c r="E22" s="36">
        <f>COUNTIFS(Master!$C$5:$C$542, Calculation!$B22, Master!$E$5:$E$542, Calculation!E$3)</f>
        <v>3</v>
      </c>
      <c r="F22" s="36">
        <f>COUNTIFS(Master!$C$5:$C$542, Calculation!$B22, Master!$E$5:$E$542, Calculation!F$3)</f>
        <v>1</v>
      </c>
      <c r="G22" s="36">
        <f>COUNTIFS(Master!$C$5:$C$542, Calculation!$B22, Master!$E$5:$E$542, Calculation!G$3)</f>
        <v>1</v>
      </c>
      <c r="H22" s="36">
        <f>COUNTIFS(Master!$C$5:$C$542, Calculation!$B22, Master!$E$5:$E$542, Calculation!H$3)</f>
        <v>1</v>
      </c>
      <c r="I22" s="68">
        <f t="shared" si="2"/>
        <v>7</v>
      </c>
      <c r="K22" s="45" t="s">
        <v>717</v>
      </c>
      <c r="L22" s="37"/>
      <c r="M22" s="36">
        <f>COUNTIFS(Master!$C$5:$C$542, Calculation!$K22, Master!$E$5:$E$542, Calculation!M$3, Master!$L$5:$L$542, "Yes" )</f>
        <v>0</v>
      </c>
      <c r="N22" s="36">
        <f>COUNTIFS(Master!$C$5:$C$542, Calculation!$K22, Master!$E$5:$E$542, Calculation!N$3, Master!$L$5:$L$542, "Yes" )</f>
        <v>0</v>
      </c>
      <c r="O22" s="36">
        <f>COUNTIFS(Master!$C$5:$C$542, Calculation!$K22, Master!$E$5:$E$542, Calculation!O$3, Master!$L$5:$L$542, "Yes" )</f>
        <v>0</v>
      </c>
      <c r="P22" s="36">
        <f>COUNTIFS(Master!$C$5:$C$542, Calculation!$K22, Master!$E$5:$E$542, Calculation!P$3, Master!$L$5:$L$542, "Yes" )</f>
        <v>0</v>
      </c>
      <c r="Q22" s="36">
        <f>COUNTIFS(Master!$C$5:$C$542, Calculation!$K22, Master!$E$5:$E$542, Calculation!Q$3, Master!$L$5:$L$542, "Yes" )</f>
        <v>0</v>
      </c>
      <c r="R22" s="68">
        <f t="shared" si="3"/>
        <v>0</v>
      </c>
      <c r="T22" s="135" t="s">
        <v>717</v>
      </c>
      <c r="V22" s="134">
        <f t="shared" si="4"/>
        <v>0</v>
      </c>
      <c r="W22" s="134">
        <f t="shared" si="5"/>
        <v>0</v>
      </c>
      <c r="X22" s="134">
        <f t="shared" si="6"/>
        <v>0</v>
      </c>
      <c r="Y22" s="134">
        <f t="shared" si="7"/>
        <v>0</v>
      </c>
      <c r="Z22" s="134">
        <f t="shared" si="8"/>
        <v>0</v>
      </c>
      <c r="AA22" s="68">
        <f t="shared" si="9"/>
        <v>0</v>
      </c>
      <c r="AF22" s="79"/>
      <c r="AI22" s="57"/>
      <c r="AR22" s="236"/>
      <c r="AS22" s="237"/>
      <c r="AT22" s="141" t="s">
        <v>27</v>
      </c>
      <c r="AU22" s="142" t="s">
        <v>55</v>
      </c>
      <c r="AV22" s="143" t="s">
        <v>181</v>
      </c>
      <c r="AW22" s="141" t="s">
        <v>27</v>
      </c>
      <c r="AX22" s="142" t="s">
        <v>55</v>
      </c>
      <c r="AY22" s="143" t="s">
        <v>181</v>
      </c>
      <c r="AZ22" s="141" t="s">
        <v>27</v>
      </c>
      <c r="BA22" s="142" t="s">
        <v>55</v>
      </c>
      <c r="BB22" s="148" t="s">
        <v>181</v>
      </c>
      <c r="BD22" s="236"/>
      <c r="BE22" s="254"/>
      <c r="BF22" s="255"/>
      <c r="BG22" s="256"/>
      <c r="BH22" s="257"/>
      <c r="BI22" s="232"/>
      <c r="BK22" s="172">
        <f>BF37</f>
        <v>129</v>
      </c>
      <c r="BL22" s="173">
        <f>BG37</f>
        <v>22</v>
      </c>
      <c r="BM22" s="173">
        <f>BH37</f>
        <v>40</v>
      </c>
      <c r="BN22" s="174">
        <f>SUM(BK22:BM22)</f>
        <v>191</v>
      </c>
    </row>
    <row r="23" spans="2:66" ht="24.6" customHeight="1" thickBot="1">
      <c r="B23" s="42" t="s">
        <v>746</v>
      </c>
      <c r="D23" s="36">
        <f>COUNTIFS(Master!$C$5:$C$542, Calculation!$B23, Master!$E$5:$E$542, Calculation!D$3)</f>
        <v>1</v>
      </c>
      <c r="E23" s="36">
        <f>COUNTIFS(Master!$C$5:$C$542, Calculation!$B23, Master!$E$5:$E$542, Calculation!E$3)</f>
        <v>6</v>
      </c>
      <c r="F23" s="36">
        <f>COUNTIFS(Master!$C$5:$C$542, Calculation!$B23, Master!$E$5:$E$542, Calculation!F$3)</f>
        <v>5</v>
      </c>
      <c r="G23" s="36">
        <f>COUNTIFS(Master!$C$5:$C$542, Calculation!$B23, Master!$E$5:$E$542, Calculation!G$3)</f>
        <v>1</v>
      </c>
      <c r="H23" s="36">
        <f>COUNTIFS(Master!$C$5:$C$542, Calculation!$B23, Master!$E$5:$E$542, Calculation!H$3)</f>
        <v>1</v>
      </c>
      <c r="I23" s="68">
        <f t="shared" si="2"/>
        <v>14</v>
      </c>
      <c r="K23" s="45" t="s">
        <v>746</v>
      </c>
      <c r="L23" s="37"/>
      <c r="M23" s="36">
        <f>COUNTIFS(Master!$C$5:$C$542, Calculation!$K23, Master!$E$5:$E$542, Calculation!M$3, Master!$L$5:$L$542, "Yes" )</f>
        <v>1</v>
      </c>
      <c r="N23" s="36">
        <f>COUNTIFS(Master!$C$5:$C$542, Calculation!$K23, Master!$E$5:$E$542, Calculation!N$3, Master!$L$5:$L$542, "Yes" )</f>
        <v>2</v>
      </c>
      <c r="O23" s="36">
        <f>COUNTIFS(Master!$C$5:$C$542, Calculation!$K23, Master!$E$5:$E$542, Calculation!O$3, Master!$L$5:$L$542, "Yes" )</f>
        <v>0</v>
      </c>
      <c r="P23" s="36">
        <f>COUNTIFS(Master!$C$5:$C$542, Calculation!$K23, Master!$E$5:$E$542, Calculation!P$3, Master!$L$5:$L$542, "Yes" )</f>
        <v>0</v>
      </c>
      <c r="Q23" s="36">
        <f>COUNTIFS(Master!$C$5:$C$542, Calculation!$K23, Master!$E$5:$E$542, Calculation!Q$3, Master!$L$5:$L$542, "Yes" )</f>
        <v>0</v>
      </c>
      <c r="R23" s="68">
        <f t="shared" si="3"/>
        <v>3</v>
      </c>
      <c r="T23" s="135" t="s">
        <v>746</v>
      </c>
      <c r="V23" s="134">
        <f t="shared" si="4"/>
        <v>1</v>
      </c>
      <c r="W23" s="134">
        <f t="shared" si="5"/>
        <v>0.33333333333333331</v>
      </c>
      <c r="X23" s="134">
        <f t="shared" si="6"/>
        <v>0</v>
      </c>
      <c r="Y23" s="134">
        <f t="shared" si="7"/>
        <v>0</v>
      </c>
      <c r="Z23" s="134">
        <f t="shared" si="8"/>
        <v>0</v>
      </c>
      <c r="AA23" s="68">
        <f t="shared" si="9"/>
        <v>1</v>
      </c>
      <c r="AF23" s="79"/>
      <c r="AI23" s="57"/>
      <c r="AR23" s="149" t="s">
        <v>15</v>
      </c>
      <c r="AS23" s="70" t="s">
        <v>16</v>
      </c>
      <c r="AT23" s="158">
        <f>IFERROR(ROUND(AT4/AM4,1),0)</f>
        <v>0</v>
      </c>
      <c r="AU23" s="158">
        <f>IFERROR(ROUND(AU4/AN4,1),0)</f>
        <v>0.3</v>
      </c>
      <c r="AV23" s="158">
        <f>IFERROR(ROUND(AV4/AO4,1),0)</f>
        <v>0</v>
      </c>
      <c r="AW23" s="158">
        <f>IFERROR(ROUND(AW4/AM4,1),0)</f>
        <v>0.3</v>
      </c>
      <c r="AX23" s="158">
        <f>IFERROR(ROUND(AX4/AN4,1),0)</f>
        <v>0.4</v>
      </c>
      <c r="AY23" s="158">
        <f>IFERROR(ROUND(AY4/AO4,1),0)</f>
        <v>1</v>
      </c>
      <c r="AZ23" s="158">
        <f>IFERROR(ROUND(AZ4/AM4,1),0)</f>
        <v>0.7</v>
      </c>
      <c r="BA23" s="158">
        <f>IFERROR(ROUND(BA4/AN4,1),0)</f>
        <v>0.2</v>
      </c>
      <c r="BB23" s="159">
        <f>IFERROR(ROUND(BB4/AO4,1),0)</f>
        <v>0</v>
      </c>
      <c r="BD23" s="149" t="s">
        <v>15</v>
      </c>
      <c r="BE23" s="70" t="s">
        <v>16</v>
      </c>
      <c r="BF23" s="36">
        <f t="shared" ref="BF23:BF36" si="14">SUM(AT4:AV4)</f>
        <v>3</v>
      </c>
      <c r="BG23" s="36">
        <f>SUM(AW4:AY4)</f>
        <v>11</v>
      </c>
      <c r="BH23" s="36">
        <f>SUM(AZ4:BB4)</f>
        <v>14</v>
      </c>
      <c r="BI23" s="68">
        <f>BH23</f>
        <v>14</v>
      </c>
      <c r="BK23" s="169"/>
      <c r="BL23" s="170"/>
      <c r="BM23" s="170"/>
      <c r="BN23" s="171"/>
    </row>
    <row r="24" spans="2:66" ht="24.6" customHeight="1">
      <c r="B24" s="42" t="s">
        <v>794</v>
      </c>
      <c r="D24" s="36">
        <f>COUNTIFS(Master!$C$5:$C$542, Calculation!$B24, Master!$E$5:$E$542, Calculation!D$3)</f>
        <v>1</v>
      </c>
      <c r="E24" s="36">
        <f>COUNTIFS(Master!$C$5:$C$542, Calculation!$B24, Master!$E$5:$E$542, Calculation!E$3)</f>
        <v>5</v>
      </c>
      <c r="F24" s="36">
        <f>COUNTIFS(Master!$C$5:$C$542, Calculation!$B24, Master!$E$5:$E$542, Calculation!F$3)</f>
        <v>6</v>
      </c>
      <c r="G24" s="36">
        <f>COUNTIFS(Master!$C$5:$C$542, Calculation!$B24, Master!$E$5:$E$542, Calculation!G$3)</f>
        <v>1</v>
      </c>
      <c r="H24" s="36">
        <f>COUNTIFS(Master!$C$5:$C$542, Calculation!$B24, Master!$E$5:$E$542, Calculation!H$3)</f>
        <v>1</v>
      </c>
      <c r="I24" s="68">
        <f t="shared" si="2"/>
        <v>14</v>
      </c>
      <c r="K24" s="45" t="s">
        <v>794</v>
      </c>
      <c r="L24" s="37"/>
      <c r="M24" s="36">
        <f>COUNTIFS(Master!$C$5:$C$542, Calculation!$K24, Master!$E$5:$E$542, Calculation!M$3, Master!$L$5:$L$542, "Yes" )</f>
        <v>1</v>
      </c>
      <c r="N24" s="36">
        <f>COUNTIFS(Master!$C$5:$C$542, Calculation!$K24, Master!$E$5:$E$542, Calculation!N$3, Master!$L$5:$L$542, "Yes" )</f>
        <v>0</v>
      </c>
      <c r="O24" s="36">
        <f>COUNTIFS(Master!$C$5:$C$542, Calculation!$K24, Master!$E$5:$E$542, Calculation!O$3, Master!$L$5:$L$542, "Yes" )</f>
        <v>0</v>
      </c>
      <c r="P24" s="36">
        <f>COUNTIFS(Master!$C$5:$C$542, Calculation!$K24, Master!$E$5:$E$542, Calculation!P$3, Master!$L$5:$L$542, "Yes" )</f>
        <v>0</v>
      </c>
      <c r="Q24" s="36">
        <f>COUNTIFS(Master!$C$5:$C$542, Calculation!$K24, Master!$E$5:$E$542, Calculation!Q$3, Master!$L$5:$L$542, "Yes" )</f>
        <v>0</v>
      </c>
      <c r="R24" s="68">
        <f t="shared" si="3"/>
        <v>1</v>
      </c>
      <c r="T24" s="135" t="s">
        <v>794</v>
      </c>
      <c r="V24" s="134">
        <f t="shared" si="4"/>
        <v>1</v>
      </c>
      <c r="W24" s="134">
        <f t="shared" si="5"/>
        <v>0</v>
      </c>
      <c r="X24" s="134">
        <f t="shared" si="6"/>
        <v>0</v>
      </c>
      <c r="Y24" s="134">
        <f t="shared" si="7"/>
        <v>0</v>
      </c>
      <c r="Z24" s="134">
        <f t="shared" si="8"/>
        <v>0</v>
      </c>
      <c r="AA24" s="68">
        <f t="shared" si="9"/>
        <v>1</v>
      </c>
      <c r="AF24" s="79"/>
      <c r="AI24" s="57"/>
      <c r="AR24" s="149" t="s">
        <v>2449</v>
      </c>
      <c r="AS24" s="70" t="s">
        <v>1002</v>
      </c>
      <c r="AT24" s="158">
        <f t="shared" ref="AT24:AT36" si="15">IFERROR(ROUND(AT5/AM5,1),0)</f>
        <v>0.8</v>
      </c>
      <c r="AU24" s="158">
        <f t="shared" ref="AU24:AU36" si="16">IFERROR(ROUND(AU5/AN5,1),0)</f>
        <v>1</v>
      </c>
      <c r="AV24" s="158">
        <f t="shared" ref="AV24:AV36" si="17">IFERROR(ROUND(AV5/AO5,1),0)</f>
        <v>1</v>
      </c>
      <c r="AW24" s="158">
        <f t="shared" ref="AW24:AW36" si="18">IFERROR(ROUND(AW5/AM5,1),0)</f>
        <v>0</v>
      </c>
      <c r="AX24" s="158">
        <f t="shared" ref="AX24:AX36" si="19">IFERROR(ROUND(AX5/AN5,1),0)</f>
        <v>0</v>
      </c>
      <c r="AY24" s="158">
        <f t="shared" ref="AY24:AY36" si="20">IFERROR(ROUND(AY5/AO5,1),0)</f>
        <v>0</v>
      </c>
      <c r="AZ24" s="158">
        <f t="shared" ref="AZ24:AZ36" si="21">IFERROR(ROUND(AZ5/AM5,1),0)</f>
        <v>0.2</v>
      </c>
      <c r="BA24" s="158">
        <f t="shared" ref="BA24:BA36" si="22">IFERROR(ROUND(BA5/AN5,1),0)</f>
        <v>0</v>
      </c>
      <c r="BB24" s="159">
        <f t="shared" ref="BB24:BB36" si="23">IFERROR(ROUND(BB5/AO5,1),0)</f>
        <v>0</v>
      </c>
      <c r="BD24" s="149" t="s">
        <v>2449</v>
      </c>
      <c r="BE24" s="70" t="s">
        <v>1002</v>
      </c>
      <c r="BF24" s="36">
        <f t="shared" si="14"/>
        <v>19</v>
      </c>
      <c r="BG24" s="36">
        <f>SUM(AW5:AY5)</f>
        <v>0</v>
      </c>
      <c r="BH24" s="36">
        <f t="shared" ref="BH24:BH36" si="24">SUM(AZ5:BB5)</f>
        <v>1</v>
      </c>
      <c r="BI24" s="68">
        <f t="shared" ref="BI24:BI36" si="25">BH24</f>
        <v>1</v>
      </c>
    </row>
    <row r="25" spans="2:66" ht="24.6" customHeight="1">
      <c r="B25" s="42" t="s">
        <v>843</v>
      </c>
      <c r="D25" s="36">
        <f>COUNTIFS(Master!$C$5:$C$542, Calculation!$B25, Master!$E$5:$E$542, Calculation!D$3)</f>
        <v>1</v>
      </c>
      <c r="E25" s="36">
        <f>COUNTIFS(Master!$C$5:$C$542, Calculation!$B25, Master!$E$5:$E$542, Calculation!E$3)</f>
        <v>1</v>
      </c>
      <c r="F25" s="36">
        <f>COUNTIFS(Master!$C$5:$C$542, Calculation!$B25, Master!$E$5:$E$542, Calculation!F$3)</f>
        <v>3</v>
      </c>
      <c r="G25" s="36">
        <f>COUNTIFS(Master!$C$5:$C$542, Calculation!$B25, Master!$E$5:$E$542, Calculation!G$3)</f>
        <v>1</v>
      </c>
      <c r="H25" s="36">
        <f>COUNTIFS(Master!$C$5:$C$542, Calculation!$B25, Master!$E$5:$E$542, Calculation!H$3)</f>
        <v>1</v>
      </c>
      <c r="I25" s="68">
        <f t="shared" si="2"/>
        <v>7</v>
      </c>
      <c r="K25" s="45" t="s">
        <v>843</v>
      </c>
      <c r="L25" s="37"/>
      <c r="M25" s="36">
        <f>COUNTIFS(Master!$C$5:$C$542, Calculation!$K25, Master!$E$5:$E$542, Calculation!M$3, Master!$L$5:$L$542, "Yes" )</f>
        <v>1</v>
      </c>
      <c r="N25" s="36">
        <f>COUNTIFS(Master!$C$5:$C$542, Calculation!$K25, Master!$E$5:$E$542, Calculation!N$3, Master!$L$5:$L$542, "Yes" )</f>
        <v>1</v>
      </c>
      <c r="O25" s="36">
        <f>COUNTIFS(Master!$C$5:$C$542, Calculation!$K25, Master!$E$5:$E$542, Calculation!O$3, Master!$L$5:$L$542, "Yes" )</f>
        <v>0</v>
      </c>
      <c r="P25" s="36">
        <f>COUNTIFS(Master!$C$5:$C$542, Calculation!$K25, Master!$E$5:$E$542, Calculation!P$3, Master!$L$5:$L$542, "Yes" )</f>
        <v>0</v>
      </c>
      <c r="Q25" s="36">
        <f>COUNTIFS(Master!$C$5:$C$542, Calculation!$K25, Master!$E$5:$E$542, Calculation!Q$3, Master!$L$5:$L$542, "Yes" )</f>
        <v>0</v>
      </c>
      <c r="R25" s="68">
        <f t="shared" si="3"/>
        <v>2</v>
      </c>
      <c r="T25" s="135" t="s">
        <v>843</v>
      </c>
      <c r="V25" s="134">
        <f t="shared" si="4"/>
        <v>1</v>
      </c>
      <c r="W25" s="134">
        <f t="shared" si="5"/>
        <v>1</v>
      </c>
      <c r="X25" s="134">
        <f t="shared" si="6"/>
        <v>0</v>
      </c>
      <c r="Y25" s="134">
        <f t="shared" si="7"/>
        <v>0</v>
      </c>
      <c r="Z25" s="134">
        <f t="shared" si="8"/>
        <v>0</v>
      </c>
      <c r="AA25" s="68">
        <f t="shared" si="9"/>
        <v>2</v>
      </c>
      <c r="AF25" s="79"/>
      <c r="AI25" s="57"/>
      <c r="AR25" s="149" t="s">
        <v>443</v>
      </c>
      <c r="AS25" s="70" t="s">
        <v>444</v>
      </c>
      <c r="AT25" s="158">
        <f t="shared" si="15"/>
        <v>0.7</v>
      </c>
      <c r="AU25" s="158">
        <f t="shared" si="16"/>
        <v>1</v>
      </c>
      <c r="AV25" s="158">
        <f t="shared" si="17"/>
        <v>1</v>
      </c>
      <c r="AW25" s="158">
        <f t="shared" si="18"/>
        <v>0</v>
      </c>
      <c r="AX25" s="158">
        <f t="shared" si="19"/>
        <v>0</v>
      </c>
      <c r="AY25" s="158">
        <f t="shared" si="20"/>
        <v>0</v>
      </c>
      <c r="AZ25" s="158">
        <f t="shared" si="21"/>
        <v>0.3</v>
      </c>
      <c r="BA25" s="158">
        <f t="shared" si="22"/>
        <v>0</v>
      </c>
      <c r="BB25" s="159">
        <f t="shared" si="23"/>
        <v>0</v>
      </c>
      <c r="BD25" s="149" t="s">
        <v>443</v>
      </c>
      <c r="BE25" s="70" t="s">
        <v>444</v>
      </c>
      <c r="BF25" s="36">
        <f t="shared" si="14"/>
        <v>12</v>
      </c>
      <c r="BG25" s="36">
        <f>SUM(AW6:AY6)</f>
        <v>0</v>
      </c>
      <c r="BH25" s="36">
        <f t="shared" si="24"/>
        <v>1</v>
      </c>
      <c r="BI25" s="68">
        <f t="shared" si="25"/>
        <v>1</v>
      </c>
    </row>
    <row r="26" spans="2:66" ht="24.6" customHeight="1">
      <c r="B26" s="42" t="s">
        <v>868</v>
      </c>
      <c r="D26" s="36">
        <f>COUNTIFS(Master!$C$5:$C$542, Calculation!$B26, Master!$E$5:$E$542, Calculation!D$3)</f>
        <v>1</v>
      </c>
      <c r="E26" s="36">
        <f>COUNTIFS(Master!$C$5:$C$542, Calculation!$B26, Master!$E$5:$E$542, Calculation!E$3)</f>
        <v>5</v>
      </c>
      <c r="F26" s="36">
        <f>COUNTIFS(Master!$C$5:$C$542, Calculation!$B26, Master!$E$5:$E$542, Calculation!F$3)</f>
        <v>7</v>
      </c>
      <c r="G26" s="36">
        <f>COUNTIFS(Master!$C$5:$C$542, Calculation!$B26, Master!$E$5:$E$542, Calculation!G$3)</f>
        <v>1</v>
      </c>
      <c r="H26" s="36">
        <f>COUNTIFS(Master!$C$5:$C$542, Calculation!$B26, Master!$E$5:$E$542, Calculation!H$3)</f>
        <v>1</v>
      </c>
      <c r="I26" s="68">
        <f t="shared" si="2"/>
        <v>15</v>
      </c>
      <c r="K26" s="45" t="s">
        <v>868</v>
      </c>
      <c r="L26" s="37"/>
      <c r="M26" s="36">
        <f>COUNTIFS(Master!$C$5:$C$542, Calculation!$K26, Master!$E$5:$E$542, Calculation!M$3, Master!$L$5:$L$542, "Yes" )</f>
        <v>1</v>
      </c>
      <c r="N26" s="36">
        <f>COUNTIFS(Master!$C$5:$C$542, Calculation!$K26, Master!$E$5:$E$542, Calculation!N$3, Master!$L$5:$L$542, "Yes" )</f>
        <v>1</v>
      </c>
      <c r="O26" s="36">
        <f>COUNTIFS(Master!$C$5:$C$542, Calculation!$K26, Master!$E$5:$E$542, Calculation!O$3, Master!$L$5:$L$542, "Yes" )</f>
        <v>0</v>
      </c>
      <c r="P26" s="36">
        <f>COUNTIFS(Master!$C$5:$C$542, Calculation!$K26, Master!$E$5:$E$542, Calculation!P$3, Master!$L$5:$L$542, "Yes" )</f>
        <v>0</v>
      </c>
      <c r="Q26" s="36">
        <f>COUNTIFS(Master!$C$5:$C$542, Calculation!$K26, Master!$E$5:$E$542, Calculation!Q$3, Master!$L$5:$L$542, "Yes" )</f>
        <v>0</v>
      </c>
      <c r="R26" s="68">
        <f t="shared" si="3"/>
        <v>2</v>
      </c>
      <c r="T26" s="135" t="s">
        <v>868</v>
      </c>
      <c r="V26" s="134">
        <f t="shared" si="4"/>
        <v>1</v>
      </c>
      <c r="W26" s="134">
        <f t="shared" si="5"/>
        <v>0.2</v>
      </c>
      <c r="X26" s="134">
        <f t="shared" si="6"/>
        <v>0</v>
      </c>
      <c r="Y26" s="134">
        <f t="shared" si="7"/>
        <v>0</v>
      </c>
      <c r="Z26" s="134">
        <f t="shared" si="8"/>
        <v>0</v>
      </c>
      <c r="AA26" s="68">
        <f t="shared" si="9"/>
        <v>1</v>
      </c>
      <c r="AF26" s="79"/>
      <c r="AI26" s="57"/>
      <c r="AR26" s="149" t="s">
        <v>866</v>
      </c>
      <c r="AS26" s="70" t="s">
        <v>867</v>
      </c>
      <c r="AT26" s="158">
        <f t="shared" si="15"/>
        <v>0.3</v>
      </c>
      <c r="AU26" s="158">
        <f t="shared" si="16"/>
        <v>1</v>
      </c>
      <c r="AV26" s="158">
        <f t="shared" si="17"/>
        <v>1</v>
      </c>
      <c r="AW26" s="158">
        <f t="shared" si="18"/>
        <v>0.3</v>
      </c>
      <c r="AX26" s="158">
        <f t="shared" si="19"/>
        <v>0</v>
      </c>
      <c r="AY26" s="158">
        <f t="shared" si="20"/>
        <v>0</v>
      </c>
      <c r="AZ26" s="158">
        <f t="shared" si="21"/>
        <v>0.3</v>
      </c>
      <c r="BA26" s="158">
        <f t="shared" si="22"/>
        <v>0</v>
      </c>
      <c r="BB26" s="159">
        <f t="shared" si="23"/>
        <v>0</v>
      </c>
      <c r="BD26" s="149" t="s">
        <v>866</v>
      </c>
      <c r="BE26" s="70" t="s">
        <v>867</v>
      </c>
      <c r="BF26" s="36">
        <f t="shared" si="14"/>
        <v>12</v>
      </c>
      <c r="BG26" s="36">
        <f>SUM(AW7:AY7)</f>
        <v>1</v>
      </c>
      <c r="BH26" s="36">
        <f t="shared" si="24"/>
        <v>1</v>
      </c>
      <c r="BI26" s="68">
        <f t="shared" si="25"/>
        <v>1</v>
      </c>
    </row>
    <row r="27" spans="2:66" ht="24.6" customHeight="1">
      <c r="B27" s="42" t="s">
        <v>919</v>
      </c>
      <c r="D27" s="36">
        <f>COUNTIFS(Master!$C$5:$C$542, Calculation!$B27, Master!$E$5:$E$542, Calculation!D$3)</f>
        <v>1</v>
      </c>
      <c r="E27" s="36">
        <f>COUNTIFS(Master!$C$5:$C$542, Calculation!$B27, Master!$E$5:$E$542, Calculation!E$3)</f>
        <v>5</v>
      </c>
      <c r="F27" s="36">
        <f>COUNTIFS(Master!$C$5:$C$542, Calculation!$B27, Master!$E$5:$E$542, Calculation!F$3)</f>
        <v>3</v>
      </c>
      <c r="G27" s="36">
        <f>COUNTIFS(Master!$C$5:$C$542, Calculation!$B27, Master!$E$5:$E$542, Calculation!G$3)</f>
        <v>1</v>
      </c>
      <c r="H27" s="36">
        <f>COUNTIFS(Master!$C$5:$C$542, Calculation!$B27, Master!$E$5:$E$542, Calculation!H$3)</f>
        <v>2</v>
      </c>
      <c r="I27" s="68">
        <f t="shared" si="2"/>
        <v>12</v>
      </c>
      <c r="K27" s="45" t="s">
        <v>919</v>
      </c>
      <c r="L27" s="37"/>
      <c r="M27" s="36">
        <f>COUNTIFS(Master!$C$5:$C$542, Calculation!$K27, Master!$E$5:$E$542, Calculation!M$3, Master!$L$5:$L$542, "Yes" )</f>
        <v>1</v>
      </c>
      <c r="N27" s="36">
        <f>COUNTIFS(Master!$C$5:$C$542, Calculation!$K27, Master!$E$5:$E$542, Calculation!N$3, Master!$L$5:$L$542, "Yes" )</f>
        <v>0</v>
      </c>
      <c r="O27" s="36">
        <f>COUNTIFS(Master!$C$5:$C$542, Calculation!$K27, Master!$E$5:$E$542, Calculation!O$3, Master!$L$5:$L$542, "Yes" )</f>
        <v>0</v>
      </c>
      <c r="P27" s="36">
        <f>COUNTIFS(Master!$C$5:$C$542, Calculation!$K27, Master!$E$5:$E$542, Calculation!P$3, Master!$L$5:$L$542, "Yes" )</f>
        <v>0</v>
      </c>
      <c r="Q27" s="36">
        <f>COUNTIFS(Master!$C$5:$C$542, Calculation!$K27, Master!$E$5:$E$542, Calculation!Q$3, Master!$L$5:$L$542, "Yes" )</f>
        <v>0</v>
      </c>
      <c r="R27" s="68">
        <f t="shared" si="3"/>
        <v>1</v>
      </c>
      <c r="T27" s="135" t="s">
        <v>919</v>
      </c>
      <c r="V27" s="134">
        <f t="shared" si="4"/>
        <v>1</v>
      </c>
      <c r="W27" s="134">
        <f t="shared" si="5"/>
        <v>0</v>
      </c>
      <c r="X27" s="134">
        <f t="shared" si="6"/>
        <v>0</v>
      </c>
      <c r="Y27" s="134">
        <f t="shared" si="7"/>
        <v>0</v>
      </c>
      <c r="Z27" s="134">
        <f t="shared" si="8"/>
        <v>0</v>
      </c>
      <c r="AA27" s="68">
        <f t="shared" si="9"/>
        <v>1</v>
      </c>
      <c r="AF27" s="79"/>
      <c r="AI27" s="57"/>
      <c r="AR27" s="149" t="s">
        <v>1833</v>
      </c>
      <c r="AS27" s="70" t="s">
        <v>745</v>
      </c>
      <c r="AT27" s="158">
        <f t="shared" si="15"/>
        <v>0.4</v>
      </c>
      <c r="AU27" s="158">
        <f t="shared" si="16"/>
        <v>1</v>
      </c>
      <c r="AV27" s="158">
        <f t="shared" si="17"/>
        <v>1</v>
      </c>
      <c r="AW27" s="158">
        <f t="shared" si="18"/>
        <v>0</v>
      </c>
      <c r="AX27" s="158">
        <f t="shared" si="19"/>
        <v>0</v>
      </c>
      <c r="AY27" s="158">
        <f t="shared" si="20"/>
        <v>0</v>
      </c>
      <c r="AZ27" s="158">
        <f t="shared" si="21"/>
        <v>0.6</v>
      </c>
      <c r="BA27" s="158">
        <f t="shared" si="22"/>
        <v>0</v>
      </c>
      <c r="BB27" s="159">
        <f t="shared" si="23"/>
        <v>0</v>
      </c>
      <c r="BD27" s="149" t="s">
        <v>1833</v>
      </c>
      <c r="BE27" s="70" t="s">
        <v>745</v>
      </c>
      <c r="BF27" s="36">
        <f t="shared" si="14"/>
        <v>9</v>
      </c>
      <c r="BG27" s="36">
        <f t="shared" ref="BG27:BG36" si="26">SUM(AW8:AY8)</f>
        <v>0</v>
      </c>
      <c r="BH27" s="36">
        <f t="shared" si="24"/>
        <v>3</v>
      </c>
      <c r="BI27" s="68">
        <f t="shared" si="25"/>
        <v>3</v>
      </c>
    </row>
    <row r="28" spans="2:66" ht="24.6" customHeight="1">
      <c r="B28" s="42" t="s">
        <v>961</v>
      </c>
      <c r="D28" s="36">
        <f>COUNTIFS(Master!$C$5:$C$542, Calculation!$B28, Master!$E$5:$E$542, Calculation!D$3)</f>
        <v>1</v>
      </c>
      <c r="E28" s="36">
        <f>COUNTIFS(Master!$C$5:$C$542, Calculation!$B28, Master!$E$5:$E$542, Calculation!E$3)</f>
        <v>4</v>
      </c>
      <c r="F28" s="36">
        <f>COUNTIFS(Master!$C$5:$C$542, Calculation!$B28, Master!$E$5:$E$542, Calculation!F$3)</f>
        <v>5</v>
      </c>
      <c r="G28" s="36">
        <f>COUNTIFS(Master!$C$5:$C$542, Calculation!$B28, Master!$E$5:$E$542, Calculation!G$3)</f>
        <v>1</v>
      </c>
      <c r="H28" s="36">
        <f>COUNTIFS(Master!$C$5:$C$542, Calculation!$B28, Master!$E$5:$E$542, Calculation!H$3)</f>
        <v>1</v>
      </c>
      <c r="I28" s="68">
        <f t="shared" si="2"/>
        <v>12</v>
      </c>
      <c r="K28" s="45" t="s">
        <v>961</v>
      </c>
      <c r="L28" s="37"/>
      <c r="M28" s="36">
        <f>COUNTIFS(Master!$C$5:$C$542, Calculation!$K28, Master!$E$5:$E$542, Calculation!M$3, Master!$L$5:$L$542, "Yes" )</f>
        <v>1</v>
      </c>
      <c r="N28" s="36">
        <f>COUNTIFS(Master!$C$5:$C$542, Calculation!$K28, Master!$E$5:$E$542, Calculation!N$3, Master!$L$5:$L$542, "Yes" )</f>
        <v>0</v>
      </c>
      <c r="O28" s="36">
        <f>COUNTIFS(Master!$C$5:$C$542, Calculation!$K28, Master!$E$5:$E$542, Calculation!O$3, Master!$L$5:$L$542, "Yes" )</f>
        <v>0</v>
      </c>
      <c r="P28" s="36">
        <f>COUNTIFS(Master!$C$5:$C$542, Calculation!$K28, Master!$E$5:$E$542, Calculation!P$3, Master!$L$5:$L$542, "Yes" )</f>
        <v>0</v>
      </c>
      <c r="Q28" s="36">
        <f>COUNTIFS(Master!$C$5:$C$542, Calculation!$K28, Master!$E$5:$E$542, Calculation!Q$3, Master!$L$5:$L$542, "Yes" )</f>
        <v>0</v>
      </c>
      <c r="R28" s="68">
        <f t="shared" si="3"/>
        <v>1</v>
      </c>
      <c r="T28" s="135" t="s">
        <v>961</v>
      </c>
      <c r="V28" s="134">
        <f t="shared" si="4"/>
        <v>1</v>
      </c>
      <c r="W28" s="134">
        <f t="shared" si="5"/>
        <v>0</v>
      </c>
      <c r="X28" s="134">
        <f t="shared" si="6"/>
        <v>0</v>
      </c>
      <c r="Y28" s="134">
        <f t="shared" si="7"/>
        <v>0</v>
      </c>
      <c r="Z28" s="134">
        <f t="shared" si="8"/>
        <v>0</v>
      </c>
      <c r="AA28" s="68">
        <f t="shared" si="9"/>
        <v>1</v>
      </c>
      <c r="AF28" s="79"/>
      <c r="AI28" s="57"/>
      <c r="AR28" s="149" t="s">
        <v>1855</v>
      </c>
      <c r="AS28" s="70" t="s">
        <v>1432</v>
      </c>
      <c r="AT28" s="158">
        <f t="shared" si="15"/>
        <v>0</v>
      </c>
      <c r="AU28" s="158">
        <f t="shared" si="16"/>
        <v>0.9</v>
      </c>
      <c r="AV28" s="158">
        <f t="shared" si="17"/>
        <v>0</v>
      </c>
      <c r="AW28" s="158">
        <f t="shared" si="18"/>
        <v>0.7</v>
      </c>
      <c r="AX28" s="158">
        <f t="shared" si="19"/>
        <v>0.1</v>
      </c>
      <c r="AY28" s="158">
        <f t="shared" si="20"/>
        <v>0</v>
      </c>
      <c r="AZ28" s="158">
        <f t="shared" si="21"/>
        <v>0.3</v>
      </c>
      <c r="BA28" s="158">
        <f t="shared" si="22"/>
        <v>0</v>
      </c>
      <c r="BB28" s="159">
        <f t="shared" si="23"/>
        <v>0</v>
      </c>
      <c r="BD28" s="149" t="s">
        <v>1855</v>
      </c>
      <c r="BE28" s="70" t="s">
        <v>1432</v>
      </c>
      <c r="BF28" s="36">
        <f t="shared" si="14"/>
        <v>9</v>
      </c>
      <c r="BG28" s="36">
        <f t="shared" si="26"/>
        <v>3</v>
      </c>
      <c r="BH28" s="36">
        <f t="shared" si="24"/>
        <v>1</v>
      </c>
      <c r="BI28" s="68">
        <f t="shared" si="25"/>
        <v>1</v>
      </c>
    </row>
    <row r="29" spans="2:66" ht="24.6" customHeight="1">
      <c r="B29" s="42" t="s">
        <v>1003</v>
      </c>
      <c r="D29" s="36">
        <f>COUNTIFS(Master!$C$5:$C$542, Calculation!$B29, Master!$E$5:$E$542, Calculation!D$3)</f>
        <v>1</v>
      </c>
      <c r="E29" s="36">
        <f>COUNTIFS(Master!$C$5:$C$542, Calculation!$B29, Master!$E$5:$E$542, Calculation!E$3)</f>
        <v>2</v>
      </c>
      <c r="F29" s="36">
        <f>COUNTIFS(Master!$C$5:$C$542, Calculation!$B29, Master!$E$5:$E$542, Calculation!F$3)</f>
        <v>2</v>
      </c>
      <c r="G29" s="36">
        <f>COUNTIFS(Master!$C$5:$C$542, Calculation!$B29, Master!$E$5:$E$542, Calculation!G$3)</f>
        <v>1</v>
      </c>
      <c r="H29" s="36">
        <f>COUNTIFS(Master!$C$5:$C$542, Calculation!$B29, Master!$E$5:$E$542, Calculation!H$3)</f>
        <v>1</v>
      </c>
      <c r="I29" s="68">
        <f t="shared" si="2"/>
        <v>7</v>
      </c>
      <c r="K29" s="45" t="s">
        <v>1003</v>
      </c>
      <c r="L29" s="37"/>
      <c r="M29" s="36">
        <f>COUNTIFS(Master!$C$5:$C$542, Calculation!$K29, Master!$E$5:$E$542, Calculation!M$3, Master!$L$5:$L$542, "Yes" )</f>
        <v>0</v>
      </c>
      <c r="N29" s="36">
        <f>COUNTIFS(Master!$C$5:$C$542, Calculation!$K29, Master!$E$5:$E$542, Calculation!N$3, Master!$L$5:$L$542, "Yes" )</f>
        <v>1</v>
      </c>
      <c r="O29" s="36">
        <f>COUNTIFS(Master!$C$5:$C$542, Calculation!$K29, Master!$E$5:$E$542, Calculation!O$3, Master!$L$5:$L$542, "Yes" )</f>
        <v>0</v>
      </c>
      <c r="P29" s="36">
        <f>COUNTIFS(Master!$C$5:$C$542, Calculation!$K29, Master!$E$5:$E$542, Calculation!P$3, Master!$L$5:$L$542, "Yes" )</f>
        <v>0</v>
      </c>
      <c r="Q29" s="36">
        <f>COUNTIFS(Master!$C$5:$C$542, Calculation!$K29, Master!$E$5:$E$542, Calculation!Q$3, Master!$L$5:$L$542, "Yes" )</f>
        <v>0</v>
      </c>
      <c r="R29" s="68">
        <f t="shared" si="3"/>
        <v>1</v>
      </c>
      <c r="T29" s="135" t="s">
        <v>1003</v>
      </c>
      <c r="V29" s="134">
        <f t="shared" si="4"/>
        <v>0</v>
      </c>
      <c r="W29" s="134">
        <f t="shared" si="5"/>
        <v>0.5</v>
      </c>
      <c r="X29" s="134">
        <f t="shared" si="6"/>
        <v>0</v>
      </c>
      <c r="Y29" s="134">
        <f t="shared" si="7"/>
        <v>0</v>
      </c>
      <c r="Z29" s="134">
        <f t="shared" si="8"/>
        <v>0</v>
      </c>
      <c r="AA29" s="68">
        <f t="shared" si="9"/>
        <v>0</v>
      </c>
      <c r="AF29" s="79"/>
      <c r="AI29" s="57"/>
      <c r="AR29" s="149" t="s">
        <v>1870</v>
      </c>
      <c r="AS29" s="70" t="s">
        <v>281</v>
      </c>
      <c r="AT29" s="158">
        <f t="shared" si="15"/>
        <v>0.5</v>
      </c>
      <c r="AU29" s="158">
        <f t="shared" si="16"/>
        <v>1</v>
      </c>
      <c r="AV29" s="158">
        <f t="shared" si="17"/>
        <v>1</v>
      </c>
      <c r="AW29" s="158">
        <f t="shared" si="18"/>
        <v>0.4</v>
      </c>
      <c r="AX29" s="158">
        <f t="shared" si="19"/>
        <v>0</v>
      </c>
      <c r="AY29" s="158">
        <f t="shared" si="20"/>
        <v>0</v>
      </c>
      <c r="AZ29" s="158">
        <f t="shared" si="21"/>
        <v>0.1</v>
      </c>
      <c r="BA29" s="158">
        <f t="shared" si="22"/>
        <v>0</v>
      </c>
      <c r="BB29" s="159">
        <f t="shared" si="23"/>
        <v>0</v>
      </c>
      <c r="BD29" s="149" t="s">
        <v>1870</v>
      </c>
      <c r="BE29" s="70" t="s">
        <v>281</v>
      </c>
      <c r="BF29" s="36">
        <f t="shared" si="14"/>
        <v>12</v>
      </c>
      <c r="BG29" s="36">
        <f t="shared" si="26"/>
        <v>3</v>
      </c>
      <c r="BH29" s="36">
        <f t="shared" si="24"/>
        <v>1</v>
      </c>
      <c r="BI29" s="68">
        <f t="shared" si="25"/>
        <v>1</v>
      </c>
    </row>
    <row r="30" spans="2:66" ht="24.6" customHeight="1">
      <c r="B30" s="42" t="s">
        <v>1027</v>
      </c>
      <c r="D30" s="36">
        <f>COUNTIFS(Master!$C$5:$C$542, Calculation!$B30, Master!$E$5:$E$542, Calculation!D$3)</f>
        <v>1</v>
      </c>
      <c r="E30" s="36">
        <f>COUNTIFS(Master!$C$5:$C$542, Calculation!$B30, Master!$E$5:$E$542, Calculation!E$3)</f>
        <v>5</v>
      </c>
      <c r="F30" s="36">
        <f>COUNTIFS(Master!$C$5:$C$542, Calculation!$B30, Master!$E$5:$E$542, Calculation!F$3)</f>
        <v>7</v>
      </c>
      <c r="G30" s="36">
        <f>COUNTIFS(Master!$C$5:$C$542, Calculation!$B30, Master!$E$5:$E$542, Calculation!G$3)</f>
        <v>2</v>
      </c>
      <c r="H30" s="36">
        <f>COUNTIFS(Master!$C$5:$C$542, Calculation!$B30, Master!$E$5:$E$542, Calculation!H$3)</f>
        <v>2</v>
      </c>
      <c r="I30" s="68">
        <f t="shared" si="2"/>
        <v>17</v>
      </c>
      <c r="K30" s="45" t="s">
        <v>1027</v>
      </c>
      <c r="L30" s="37"/>
      <c r="M30" s="36">
        <f>COUNTIFS(Master!$C$5:$C$542, Calculation!$K30, Master!$E$5:$E$542, Calculation!M$3, Master!$L$5:$L$542, "Yes" )</f>
        <v>0</v>
      </c>
      <c r="N30" s="36">
        <f>COUNTIFS(Master!$C$5:$C$542, Calculation!$K30, Master!$E$5:$E$542, Calculation!N$3, Master!$L$5:$L$542, "Yes" )</f>
        <v>0</v>
      </c>
      <c r="O30" s="36">
        <f>COUNTIFS(Master!$C$5:$C$542, Calculation!$K30, Master!$E$5:$E$542, Calculation!O$3, Master!$L$5:$L$542, "Yes" )</f>
        <v>0</v>
      </c>
      <c r="P30" s="36">
        <f>COUNTIFS(Master!$C$5:$C$542, Calculation!$K30, Master!$E$5:$E$542, Calculation!P$3, Master!$L$5:$L$542, "Yes" )</f>
        <v>0</v>
      </c>
      <c r="Q30" s="36">
        <f>COUNTIFS(Master!$C$5:$C$542, Calculation!$K30, Master!$E$5:$E$542, Calculation!Q$3, Master!$L$5:$L$542, "Yes" )</f>
        <v>0</v>
      </c>
      <c r="R30" s="68">
        <f t="shared" si="3"/>
        <v>0</v>
      </c>
      <c r="T30" s="135" t="s">
        <v>1027</v>
      </c>
      <c r="V30" s="134">
        <f t="shared" si="4"/>
        <v>0</v>
      </c>
      <c r="W30" s="134">
        <f t="shared" si="5"/>
        <v>0</v>
      </c>
      <c r="X30" s="134">
        <f t="shared" si="6"/>
        <v>0</v>
      </c>
      <c r="Y30" s="134">
        <f t="shared" si="7"/>
        <v>0</v>
      </c>
      <c r="Z30" s="134">
        <f t="shared" si="8"/>
        <v>0</v>
      </c>
      <c r="AA30" s="68">
        <f t="shared" si="9"/>
        <v>0</v>
      </c>
      <c r="AF30" s="79"/>
      <c r="AI30" s="57"/>
      <c r="AR30" s="149" t="s">
        <v>1899</v>
      </c>
      <c r="AS30" s="70" t="s">
        <v>1144</v>
      </c>
      <c r="AT30" s="158">
        <f t="shared" si="15"/>
        <v>0.9</v>
      </c>
      <c r="AU30" s="158">
        <f t="shared" si="16"/>
        <v>1</v>
      </c>
      <c r="AV30" s="158">
        <f t="shared" si="17"/>
        <v>0</v>
      </c>
      <c r="AW30" s="158">
        <f t="shared" si="18"/>
        <v>0</v>
      </c>
      <c r="AX30" s="158">
        <f t="shared" si="19"/>
        <v>0</v>
      </c>
      <c r="AY30" s="158">
        <f t="shared" si="20"/>
        <v>0</v>
      </c>
      <c r="AZ30" s="158">
        <f t="shared" si="21"/>
        <v>0.1</v>
      </c>
      <c r="BA30" s="158">
        <f t="shared" si="22"/>
        <v>0</v>
      </c>
      <c r="BB30" s="159">
        <f t="shared" si="23"/>
        <v>0</v>
      </c>
      <c r="BD30" s="149" t="s">
        <v>1899</v>
      </c>
      <c r="BE30" s="70" t="s">
        <v>1144</v>
      </c>
      <c r="BF30" s="36">
        <f t="shared" si="14"/>
        <v>17</v>
      </c>
      <c r="BG30" s="36">
        <f t="shared" si="26"/>
        <v>0</v>
      </c>
      <c r="BH30" s="36">
        <f t="shared" si="24"/>
        <v>1</v>
      </c>
      <c r="BI30" s="68">
        <f t="shared" si="25"/>
        <v>1</v>
      </c>
    </row>
    <row r="31" spans="2:66" ht="24.6" customHeight="1">
      <c r="B31" s="42" t="s">
        <v>1089</v>
      </c>
      <c r="D31" s="36">
        <f>COUNTIFS(Master!$C$5:$C$542, Calculation!$B31, Master!$E$5:$E$542, Calculation!D$3)</f>
        <v>1</v>
      </c>
      <c r="E31" s="36">
        <f>COUNTIFS(Master!$C$5:$C$542, Calculation!$B31, Master!$E$5:$E$542, Calculation!E$3)</f>
        <v>7</v>
      </c>
      <c r="F31" s="36">
        <f>COUNTIFS(Master!$C$5:$C$542, Calculation!$B31, Master!$E$5:$E$542, Calculation!F$3)</f>
        <v>4</v>
      </c>
      <c r="G31" s="36">
        <f>COUNTIFS(Master!$C$5:$C$542, Calculation!$B31, Master!$E$5:$E$542, Calculation!G$3)</f>
        <v>2</v>
      </c>
      <c r="H31" s="36">
        <f>COUNTIFS(Master!$C$5:$C$542, Calculation!$B31, Master!$E$5:$E$542, Calculation!H$3)</f>
        <v>1</v>
      </c>
      <c r="I31" s="68">
        <f t="shared" si="2"/>
        <v>15</v>
      </c>
      <c r="K31" s="45" t="s">
        <v>1089</v>
      </c>
      <c r="L31" s="37"/>
      <c r="M31" s="36">
        <f>COUNTIFS(Master!$C$5:$C$542, Calculation!$K31, Master!$E$5:$E$542, Calculation!M$3, Master!$L$5:$L$542, "Yes" )</f>
        <v>0</v>
      </c>
      <c r="N31" s="36">
        <f>COUNTIFS(Master!$C$5:$C$542, Calculation!$K31, Master!$E$5:$E$542, Calculation!N$3, Master!$L$5:$L$542, "Yes" )</f>
        <v>0</v>
      </c>
      <c r="O31" s="36">
        <f>COUNTIFS(Master!$C$5:$C$542, Calculation!$K31, Master!$E$5:$E$542, Calculation!O$3, Master!$L$5:$L$542, "Yes" )</f>
        <v>0</v>
      </c>
      <c r="P31" s="36">
        <f>COUNTIFS(Master!$C$5:$C$542, Calculation!$K31, Master!$E$5:$E$542, Calculation!P$3, Master!$L$5:$L$542, "Yes" )</f>
        <v>0</v>
      </c>
      <c r="Q31" s="36">
        <f>COUNTIFS(Master!$C$5:$C$542, Calculation!$K31, Master!$E$5:$E$542, Calculation!Q$3, Master!$L$5:$L$542, "Yes" )</f>
        <v>0</v>
      </c>
      <c r="R31" s="68">
        <f t="shared" si="3"/>
        <v>0</v>
      </c>
      <c r="T31" s="135" t="s">
        <v>1089</v>
      </c>
      <c r="V31" s="134">
        <f t="shared" si="4"/>
        <v>0</v>
      </c>
      <c r="W31" s="134">
        <f t="shared" si="5"/>
        <v>0</v>
      </c>
      <c r="X31" s="134">
        <f t="shared" si="6"/>
        <v>0</v>
      </c>
      <c r="Y31" s="134">
        <f t="shared" si="7"/>
        <v>0</v>
      </c>
      <c r="Z31" s="134">
        <f t="shared" si="8"/>
        <v>0</v>
      </c>
      <c r="AA31" s="68">
        <f t="shared" si="9"/>
        <v>0</v>
      </c>
      <c r="AF31" s="79"/>
      <c r="AI31" s="57"/>
      <c r="AR31" s="149" t="s">
        <v>1921</v>
      </c>
      <c r="AS31" s="70" t="s">
        <v>1251</v>
      </c>
      <c r="AT31" s="158">
        <f t="shared" si="15"/>
        <v>0.8</v>
      </c>
      <c r="AU31" s="158">
        <f t="shared" si="16"/>
        <v>0.6</v>
      </c>
      <c r="AV31" s="158">
        <f t="shared" si="17"/>
        <v>1</v>
      </c>
      <c r="AW31" s="158">
        <f t="shared" si="18"/>
        <v>0</v>
      </c>
      <c r="AX31" s="158">
        <f t="shared" si="19"/>
        <v>0.2</v>
      </c>
      <c r="AY31" s="158">
        <f t="shared" si="20"/>
        <v>0</v>
      </c>
      <c r="AZ31" s="158">
        <f t="shared" si="21"/>
        <v>0.3</v>
      </c>
      <c r="BA31" s="158">
        <f t="shared" si="22"/>
        <v>0.2</v>
      </c>
      <c r="BB31" s="159">
        <f t="shared" si="23"/>
        <v>0</v>
      </c>
      <c r="BD31" s="149" t="s">
        <v>1921</v>
      </c>
      <c r="BE31" s="70" t="s">
        <v>1251</v>
      </c>
      <c r="BF31" s="36">
        <f t="shared" si="14"/>
        <v>7</v>
      </c>
      <c r="BG31" s="36">
        <f t="shared" si="26"/>
        <v>1</v>
      </c>
      <c r="BH31" s="36">
        <f t="shared" si="24"/>
        <v>2</v>
      </c>
      <c r="BI31" s="68">
        <f t="shared" si="25"/>
        <v>2</v>
      </c>
    </row>
    <row r="32" spans="2:66" ht="24.6" customHeight="1">
      <c r="B32" s="42" t="s">
        <v>1145</v>
      </c>
      <c r="D32" s="36">
        <f>COUNTIFS(Master!$C$5:$C$542, Calculation!$B32, Master!$E$5:$E$542, Calculation!D$3)</f>
        <v>1</v>
      </c>
      <c r="E32" s="36">
        <f>COUNTIFS(Master!$C$5:$C$542, Calculation!$B32, Master!$E$5:$E$542, Calculation!E$3)</f>
        <v>1</v>
      </c>
      <c r="F32" s="36">
        <f>COUNTIFS(Master!$C$5:$C$542, Calculation!$B32, Master!$E$5:$E$542, Calculation!F$3)</f>
        <v>5</v>
      </c>
      <c r="G32" s="36">
        <f>COUNTIFS(Master!$C$5:$C$542, Calculation!$B32, Master!$E$5:$E$542, Calculation!G$3)</f>
        <v>1</v>
      </c>
      <c r="H32" s="36">
        <f>COUNTIFS(Master!$C$5:$C$542, Calculation!$B32, Master!$E$5:$E$542, Calculation!H$3)</f>
        <v>1</v>
      </c>
      <c r="I32" s="68">
        <f t="shared" si="2"/>
        <v>9</v>
      </c>
      <c r="K32" s="45" t="s">
        <v>1145</v>
      </c>
      <c r="L32" s="37"/>
      <c r="M32" s="36">
        <f>COUNTIFS(Master!$C$5:$C$542, Calculation!$K32, Master!$E$5:$E$542, Calculation!M$3, Master!$L$5:$L$542, "Yes" )</f>
        <v>1</v>
      </c>
      <c r="N32" s="36">
        <f>COUNTIFS(Master!$C$5:$C$542, Calculation!$K32, Master!$E$5:$E$542, Calculation!N$3, Master!$L$5:$L$542, "Yes" )</f>
        <v>1</v>
      </c>
      <c r="O32" s="36">
        <f>COUNTIFS(Master!$C$5:$C$542, Calculation!$K32, Master!$E$5:$E$542, Calculation!O$3, Master!$L$5:$L$542, "Yes" )</f>
        <v>0</v>
      </c>
      <c r="P32" s="36">
        <f>COUNTIFS(Master!$C$5:$C$542, Calculation!$K32, Master!$E$5:$E$542, Calculation!P$3, Master!$L$5:$L$542, "Yes" )</f>
        <v>0</v>
      </c>
      <c r="Q32" s="36">
        <f>COUNTIFS(Master!$C$5:$C$542, Calculation!$K32, Master!$E$5:$E$542, Calculation!Q$3, Master!$L$5:$L$542, "Yes" )</f>
        <v>0</v>
      </c>
      <c r="R32" s="68">
        <f t="shared" si="3"/>
        <v>2</v>
      </c>
      <c r="T32" s="135" t="s">
        <v>1145</v>
      </c>
      <c r="V32" s="134">
        <f t="shared" si="4"/>
        <v>1</v>
      </c>
      <c r="W32" s="134">
        <f t="shared" si="5"/>
        <v>1</v>
      </c>
      <c r="X32" s="134">
        <f t="shared" si="6"/>
        <v>0</v>
      </c>
      <c r="Y32" s="134">
        <f t="shared" si="7"/>
        <v>0</v>
      </c>
      <c r="Z32" s="134">
        <f t="shared" si="8"/>
        <v>0</v>
      </c>
      <c r="AA32" s="68">
        <f t="shared" si="9"/>
        <v>2</v>
      </c>
      <c r="AF32" s="79"/>
      <c r="AI32" s="57"/>
      <c r="AR32" s="149" t="s">
        <v>1950</v>
      </c>
      <c r="AS32" s="70" t="s">
        <v>675</v>
      </c>
      <c r="AT32" s="158">
        <f t="shared" si="15"/>
        <v>0.5</v>
      </c>
      <c r="AU32" s="158">
        <f t="shared" si="16"/>
        <v>1</v>
      </c>
      <c r="AV32" s="158">
        <f t="shared" si="17"/>
        <v>1</v>
      </c>
      <c r="AW32" s="158">
        <f t="shared" si="18"/>
        <v>0</v>
      </c>
      <c r="AX32" s="158">
        <f t="shared" si="19"/>
        <v>0</v>
      </c>
      <c r="AY32" s="158">
        <f t="shared" si="20"/>
        <v>0</v>
      </c>
      <c r="AZ32" s="158">
        <f t="shared" si="21"/>
        <v>0.5</v>
      </c>
      <c r="BA32" s="158">
        <f t="shared" si="22"/>
        <v>0</v>
      </c>
      <c r="BB32" s="159">
        <f t="shared" si="23"/>
        <v>0</v>
      </c>
      <c r="BD32" s="149" t="s">
        <v>1950</v>
      </c>
      <c r="BE32" s="70" t="s">
        <v>675</v>
      </c>
      <c r="BF32" s="36">
        <f t="shared" si="14"/>
        <v>7</v>
      </c>
      <c r="BG32" s="36">
        <f t="shared" si="26"/>
        <v>0</v>
      </c>
      <c r="BH32" s="36">
        <f t="shared" si="24"/>
        <v>1</v>
      </c>
      <c r="BI32" s="68">
        <f t="shared" si="25"/>
        <v>1</v>
      </c>
    </row>
    <row r="33" spans="2:66" ht="24.6" customHeight="1">
      <c r="B33" s="42" t="s">
        <v>1178</v>
      </c>
      <c r="D33" s="36">
        <f>COUNTIFS(Master!$C$5:$C$542, Calculation!$B33, Master!$E$5:$E$542, Calculation!D$3)</f>
        <v>1</v>
      </c>
      <c r="E33" s="36">
        <f>COUNTIFS(Master!$C$5:$C$542, Calculation!$B33, Master!$E$5:$E$542, Calculation!E$3)</f>
        <v>5</v>
      </c>
      <c r="F33" s="36">
        <f>COUNTIFS(Master!$C$5:$C$542, Calculation!$B33, Master!$E$5:$E$542, Calculation!F$3)</f>
        <v>2</v>
      </c>
      <c r="G33" s="36">
        <f>COUNTIFS(Master!$C$5:$C$542, Calculation!$B33, Master!$E$5:$E$542, Calculation!G$3)</f>
        <v>1</v>
      </c>
      <c r="H33" s="36">
        <f>COUNTIFS(Master!$C$5:$C$542, Calculation!$B33, Master!$E$5:$E$542, Calculation!H$3)</f>
        <v>1</v>
      </c>
      <c r="I33" s="68">
        <f t="shared" si="2"/>
        <v>10</v>
      </c>
      <c r="K33" s="45" t="s">
        <v>1178</v>
      </c>
      <c r="L33" s="37"/>
      <c r="M33" s="36">
        <f>COUNTIFS(Master!$C$5:$C$542, Calculation!$K33, Master!$E$5:$E$542, Calculation!M$3, Master!$L$5:$L$542, "Yes" )</f>
        <v>0</v>
      </c>
      <c r="N33" s="36">
        <f>COUNTIFS(Master!$C$5:$C$542, Calculation!$K33, Master!$E$5:$E$542, Calculation!N$3, Master!$L$5:$L$542, "Yes" )</f>
        <v>0</v>
      </c>
      <c r="O33" s="36">
        <f>COUNTIFS(Master!$C$5:$C$542, Calculation!$K33, Master!$E$5:$E$542, Calculation!O$3, Master!$L$5:$L$542, "Yes" )</f>
        <v>0</v>
      </c>
      <c r="P33" s="36">
        <f>COUNTIFS(Master!$C$5:$C$542, Calculation!$K33, Master!$E$5:$E$542, Calculation!P$3, Master!$L$5:$L$542, "Yes" )</f>
        <v>0</v>
      </c>
      <c r="Q33" s="36">
        <f>COUNTIFS(Master!$C$5:$C$542, Calculation!$K33, Master!$E$5:$E$542, Calculation!Q$3, Master!$L$5:$L$542, "Yes" )</f>
        <v>0</v>
      </c>
      <c r="R33" s="68">
        <f t="shared" si="3"/>
        <v>0</v>
      </c>
      <c r="T33" s="135" t="s">
        <v>1178</v>
      </c>
      <c r="V33" s="134">
        <f t="shared" si="4"/>
        <v>0</v>
      </c>
      <c r="W33" s="134">
        <f t="shared" si="5"/>
        <v>0</v>
      </c>
      <c r="X33" s="134">
        <f t="shared" si="6"/>
        <v>0</v>
      </c>
      <c r="Y33" s="134">
        <f t="shared" si="7"/>
        <v>0</v>
      </c>
      <c r="Z33" s="134">
        <f t="shared" si="8"/>
        <v>0</v>
      </c>
      <c r="AA33" s="68">
        <f t="shared" si="9"/>
        <v>0</v>
      </c>
      <c r="AF33" s="79"/>
      <c r="AI33" s="57"/>
      <c r="AR33" s="149" t="s">
        <v>1603</v>
      </c>
      <c r="AS33" s="70" t="s">
        <v>1604</v>
      </c>
      <c r="AT33" s="158">
        <f t="shared" si="15"/>
        <v>0.8</v>
      </c>
      <c r="AU33" s="158">
        <f t="shared" si="16"/>
        <v>1</v>
      </c>
      <c r="AV33" s="158">
        <f t="shared" si="17"/>
        <v>1</v>
      </c>
      <c r="AW33" s="158">
        <f t="shared" si="18"/>
        <v>0</v>
      </c>
      <c r="AX33" s="158">
        <f t="shared" si="19"/>
        <v>0</v>
      </c>
      <c r="AY33" s="158">
        <f t="shared" si="20"/>
        <v>0</v>
      </c>
      <c r="AZ33" s="158">
        <f t="shared" si="21"/>
        <v>0.2</v>
      </c>
      <c r="BA33" s="158">
        <f t="shared" si="22"/>
        <v>0</v>
      </c>
      <c r="BB33" s="159">
        <f t="shared" si="23"/>
        <v>0</v>
      </c>
      <c r="BD33" s="149" t="s">
        <v>1603</v>
      </c>
      <c r="BE33" s="70" t="s">
        <v>1604</v>
      </c>
      <c r="BF33" s="36">
        <f t="shared" si="14"/>
        <v>9</v>
      </c>
      <c r="BG33" s="36">
        <f t="shared" si="26"/>
        <v>0</v>
      </c>
      <c r="BH33" s="36">
        <f t="shared" si="24"/>
        <v>1</v>
      </c>
      <c r="BI33" s="68">
        <f t="shared" si="25"/>
        <v>1</v>
      </c>
    </row>
    <row r="34" spans="2:66" ht="24.6" customHeight="1">
      <c r="B34" s="42" t="s">
        <v>1216</v>
      </c>
      <c r="D34" s="36">
        <f>COUNTIFS(Master!$C$5:$C$542, Calculation!$B34, Master!$E$5:$E$542, Calculation!D$3)</f>
        <v>1</v>
      </c>
      <c r="E34" s="36">
        <f>COUNTIFS(Master!$C$5:$C$542, Calculation!$B34, Master!$E$5:$E$542, Calculation!E$3)</f>
        <v>4</v>
      </c>
      <c r="F34" s="36">
        <f>COUNTIFS(Master!$C$5:$C$542, Calculation!$B34, Master!$E$5:$E$542, Calculation!F$3)</f>
        <v>2</v>
      </c>
      <c r="G34" s="36">
        <f>COUNTIFS(Master!$C$5:$C$542, Calculation!$B34, Master!$E$5:$E$542, Calculation!G$3)</f>
        <v>1</v>
      </c>
      <c r="H34" s="36">
        <f>COUNTIFS(Master!$C$5:$C$542, Calculation!$B34, Master!$E$5:$E$542, Calculation!H$3)</f>
        <v>1</v>
      </c>
      <c r="I34" s="68">
        <f t="shared" si="2"/>
        <v>9</v>
      </c>
      <c r="K34" s="45" t="s">
        <v>1216</v>
      </c>
      <c r="L34" s="37"/>
      <c r="M34" s="36">
        <f>COUNTIFS(Master!$C$5:$C$542, Calculation!$K34, Master!$E$5:$E$542, Calculation!M$3, Master!$L$5:$L$542, "Yes" )</f>
        <v>0</v>
      </c>
      <c r="N34" s="36">
        <f>COUNTIFS(Master!$C$5:$C$542, Calculation!$K34, Master!$E$5:$E$542, Calculation!N$3, Master!$L$5:$L$542, "Yes" )</f>
        <v>0</v>
      </c>
      <c r="O34" s="36">
        <f>COUNTIFS(Master!$C$5:$C$542, Calculation!$K34, Master!$E$5:$E$542, Calculation!O$3, Master!$L$5:$L$542, "Yes" )</f>
        <v>0</v>
      </c>
      <c r="P34" s="36">
        <f>COUNTIFS(Master!$C$5:$C$542, Calculation!$K34, Master!$E$5:$E$542, Calculation!P$3, Master!$L$5:$L$542, "Yes" )</f>
        <v>0</v>
      </c>
      <c r="Q34" s="36">
        <f>COUNTIFS(Master!$C$5:$C$542, Calculation!$K34, Master!$E$5:$E$542, Calculation!Q$3, Master!$L$5:$L$542, "Yes" )</f>
        <v>0</v>
      </c>
      <c r="R34" s="68">
        <f t="shared" si="3"/>
        <v>0</v>
      </c>
      <c r="T34" s="135" t="s">
        <v>1216</v>
      </c>
      <c r="V34" s="134">
        <f t="shared" si="4"/>
        <v>0</v>
      </c>
      <c r="W34" s="134">
        <f t="shared" si="5"/>
        <v>0</v>
      </c>
      <c r="X34" s="134">
        <f t="shared" si="6"/>
        <v>0</v>
      </c>
      <c r="Y34" s="134">
        <f t="shared" si="7"/>
        <v>0</v>
      </c>
      <c r="Z34" s="134">
        <f t="shared" si="8"/>
        <v>0</v>
      </c>
      <c r="AA34" s="68">
        <f t="shared" si="9"/>
        <v>0</v>
      </c>
      <c r="AF34" s="79"/>
      <c r="AI34" s="57"/>
      <c r="AR34" s="149" t="s">
        <v>1528</v>
      </c>
      <c r="AS34" s="70" t="s">
        <v>1529</v>
      </c>
      <c r="AT34" s="158">
        <f t="shared" si="15"/>
        <v>1</v>
      </c>
      <c r="AU34" s="158">
        <f t="shared" si="16"/>
        <v>1</v>
      </c>
      <c r="AV34" s="158">
        <f t="shared" si="17"/>
        <v>1</v>
      </c>
      <c r="AW34" s="158">
        <f t="shared" si="18"/>
        <v>0</v>
      </c>
      <c r="AX34" s="158">
        <f t="shared" si="19"/>
        <v>0</v>
      </c>
      <c r="AY34" s="158">
        <f t="shared" si="20"/>
        <v>0</v>
      </c>
      <c r="AZ34" s="158">
        <f t="shared" si="21"/>
        <v>0</v>
      </c>
      <c r="BA34" s="158">
        <f t="shared" si="22"/>
        <v>0</v>
      </c>
      <c r="BB34" s="159">
        <f t="shared" si="23"/>
        <v>0</v>
      </c>
      <c r="BD34" s="149" t="s">
        <v>1528</v>
      </c>
      <c r="BE34" s="70" t="s">
        <v>1529</v>
      </c>
      <c r="BF34" s="36">
        <f t="shared" si="14"/>
        <v>9</v>
      </c>
      <c r="BG34" s="36">
        <f t="shared" si="26"/>
        <v>0</v>
      </c>
      <c r="BH34" s="36">
        <f t="shared" si="24"/>
        <v>0</v>
      </c>
      <c r="BI34" s="68">
        <f t="shared" si="25"/>
        <v>0</v>
      </c>
    </row>
    <row r="35" spans="2:66" ht="24.6" customHeight="1">
      <c r="B35" s="42" t="s">
        <v>1252</v>
      </c>
      <c r="D35" s="36">
        <f>COUNTIFS(Master!$C$5:$C$542, Calculation!$B35, Master!$E$5:$E$542, Calculation!D$3)</f>
        <v>1</v>
      </c>
      <c r="E35" s="36">
        <f>COUNTIFS(Master!$C$5:$C$542, Calculation!$B35, Master!$E$5:$E$542, Calculation!E$3)</f>
        <v>1</v>
      </c>
      <c r="F35" s="36">
        <f>COUNTIFS(Master!$C$5:$C$542, Calculation!$B35, Master!$E$5:$E$542, Calculation!F$3)</f>
        <v>2</v>
      </c>
      <c r="G35" s="36">
        <f>COUNTIFS(Master!$C$5:$C$542, Calculation!$B35, Master!$E$5:$E$542, Calculation!G$3)</f>
        <v>1</v>
      </c>
      <c r="H35" s="36">
        <f>COUNTIFS(Master!$C$5:$C$542, Calculation!$B35, Master!$E$5:$E$542, Calculation!H$3)</f>
        <v>1</v>
      </c>
      <c r="I35" s="68">
        <f t="shared" si="2"/>
        <v>6</v>
      </c>
      <c r="K35" s="45" t="s">
        <v>1252</v>
      </c>
      <c r="L35" s="37"/>
      <c r="M35" s="36">
        <f>COUNTIFS(Master!$C$5:$C$542, Calculation!$K35, Master!$E$5:$E$542, Calculation!M$3, Master!$L$5:$L$542, "Yes" )</f>
        <v>1</v>
      </c>
      <c r="N35" s="36">
        <f>COUNTIFS(Master!$C$5:$C$542, Calculation!$K35, Master!$E$5:$E$542, Calculation!N$3, Master!$L$5:$L$542, "Yes" )</f>
        <v>1</v>
      </c>
      <c r="O35" s="36">
        <f>COUNTIFS(Master!$C$5:$C$542, Calculation!$K35, Master!$E$5:$E$542, Calculation!O$3, Master!$L$5:$L$542, "Yes" )</f>
        <v>0</v>
      </c>
      <c r="P35" s="36">
        <f>COUNTIFS(Master!$C$5:$C$542, Calculation!$K35, Master!$E$5:$E$542, Calculation!P$3, Master!$L$5:$L$542, "Yes" )</f>
        <v>0</v>
      </c>
      <c r="Q35" s="36">
        <f>COUNTIFS(Master!$C$5:$C$542, Calculation!$K35, Master!$E$5:$E$542, Calculation!Q$3, Master!$L$5:$L$542, "Yes" )</f>
        <v>0</v>
      </c>
      <c r="R35" s="68">
        <f t="shared" si="3"/>
        <v>2</v>
      </c>
      <c r="T35" s="135" t="s">
        <v>1252</v>
      </c>
      <c r="V35" s="134">
        <f t="shared" si="4"/>
        <v>1</v>
      </c>
      <c r="W35" s="134">
        <f t="shared" si="5"/>
        <v>1</v>
      </c>
      <c r="X35" s="134">
        <f t="shared" si="6"/>
        <v>0</v>
      </c>
      <c r="Y35" s="134">
        <f t="shared" si="7"/>
        <v>0</v>
      </c>
      <c r="Z35" s="134">
        <f t="shared" si="8"/>
        <v>0</v>
      </c>
      <c r="AA35" s="68">
        <f t="shared" si="9"/>
        <v>2</v>
      </c>
      <c r="AI35" s="57"/>
      <c r="AR35" s="149" t="s">
        <v>195</v>
      </c>
      <c r="AS35" s="70" t="s">
        <v>196</v>
      </c>
      <c r="AT35" s="158">
        <f t="shared" si="15"/>
        <v>0</v>
      </c>
      <c r="AU35" s="158">
        <f t="shared" si="16"/>
        <v>0.5</v>
      </c>
      <c r="AV35" s="158">
        <f t="shared" si="17"/>
        <v>0</v>
      </c>
      <c r="AW35" s="158">
        <f t="shared" si="18"/>
        <v>0.2</v>
      </c>
      <c r="AX35" s="158">
        <f>IFERROR(ROUND(AX16/AN16,1),0)</f>
        <v>0.3</v>
      </c>
      <c r="AY35" s="158">
        <f t="shared" si="20"/>
        <v>0</v>
      </c>
      <c r="AZ35" s="158">
        <f t="shared" si="21"/>
        <v>0.8</v>
      </c>
      <c r="BA35" s="158">
        <f t="shared" si="22"/>
        <v>0.3</v>
      </c>
      <c r="BB35" s="159">
        <f t="shared" si="23"/>
        <v>0</v>
      </c>
      <c r="BD35" s="149" t="s">
        <v>195</v>
      </c>
      <c r="BE35" s="70" t="s">
        <v>196</v>
      </c>
      <c r="BF35" s="36">
        <f t="shared" si="14"/>
        <v>2</v>
      </c>
      <c r="BG35" s="36">
        <f>SUM(AW16:AY16)</f>
        <v>2</v>
      </c>
      <c r="BH35" s="36">
        <f>SUM(AZ16:BB16)</f>
        <v>6</v>
      </c>
      <c r="BI35" s="68">
        <f t="shared" si="25"/>
        <v>6</v>
      </c>
    </row>
    <row r="36" spans="2:66" ht="24.6" customHeight="1" thickBot="1">
      <c r="B36" s="42" t="s">
        <v>1272</v>
      </c>
      <c r="D36" s="36">
        <f>COUNTIFS(Master!$C$5:$C$542, Calculation!$B36, Master!$E$5:$E$542, Calculation!D$3)</f>
        <v>1</v>
      </c>
      <c r="E36" s="36">
        <f>COUNTIFS(Master!$C$5:$C$542, Calculation!$B36, Master!$E$5:$E$542, Calculation!E$3)</f>
        <v>7</v>
      </c>
      <c r="F36" s="36">
        <f>COUNTIFS(Master!$C$5:$C$542, Calculation!$B36, Master!$E$5:$E$542, Calculation!F$3)</f>
        <v>3</v>
      </c>
      <c r="G36" s="36">
        <f>COUNTIFS(Master!$C$5:$C$542, Calculation!$B36, Master!$E$5:$E$542, Calculation!G$3)</f>
        <v>1</v>
      </c>
      <c r="H36" s="36">
        <f>COUNTIFS(Master!$C$5:$C$542, Calculation!$B36, Master!$E$5:$E$542, Calculation!H$3)</f>
        <v>2</v>
      </c>
      <c r="I36" s="68">
        <f t="shared" si="2"/>
        <v>14</v>
      </c>
      <c r="K36" s="45" t="s">
        <v>1272</v>
      </c>
      <c r="L36" s="37"/>
      <c r="M36" s="36">
        <f>COUNTIFS(Master!$C$5:$C$542, Calculation!$K36, Master!$E$5:$E$542, Calculation!M$3, Master!$L$5:$L$542, "Yes" )</f>
        <v>0</v>
      </c>
      <c r="N36" s="36">
        <f>COUNTIFS(Master!$C$5:$C$542, Calculation!$K36, Master!$E$5:$E$542, Calculation!N$3, Master!$L$5:$L$542, "Yes" )</f>
        <v>1</v>
      </c>
      <c r="O36" s="36">
        <f>COUNTIFS(Master!$C$5:$C$542, Calculation!$K36, Master!$E$5:$E$542, Calculation!O$3, Master!$L$5:$L$542, "Yes" )</f>
        <v>0</v>
      </c>
      <c r="P36" s="36">
        <f>COUNTIFS(Master!$C$5:$C$542, Calculation!$K36, Master!$E$5:$E$542, Calculation!P$3, Master!$L$5:$L$542, "Yes" )</f>
        <v>0</v>
      </c>
      <c r="Q36" s="36">
        <f>COUNTIFS(Master!$C$5:$C$542, Calculation!$K36, Master!$E$5:$E$542, Calculation!Q$3, Master!$L$5:$L$542, "Yes" )</f>
        <v>0</v>
      </c>
      <c r="R36" s="68">
        <f t="shared" si="3"/>
        <v>1</v>
      </c>
      <c r="T36" s="135" t="s">
        <v>1272</v>
      </c>
      <c r="V36" s="134">
        <f t="shared" si="4"/>
        <v>0</v>
      </c>
      <c r="W36" s="134">
        <f t="shared" si="5"/>
        <v>0.14285714285714285</v>
      </c>
      <c r="X36" s="134">
        <f t="shared" si="6"/>
        <v>0</v>
      </c>
      <c r="Y36" s="134">
        <f t="shared" si="7"/>
        <v>0</v>
      </c>
      <c r="Z36" s="134">
        <f t="shared" si="8"/>
        <v>0</v>
      </c>
      <c r="AA36" s="68">
        <f t="shared" si="9"/>
        <v>0</v>
      </c>
      <c r="AI36" s="57"/>
      <c r="AR36" s="154" t="s">
        <v>2021</v>
      </c>
      <c r="AS36" s="155" t="s">
        <v>591</v>
      </c>
      <c r="AT36" s="161">
        <f t="shared" si="15"/>
        <v>0</v>
      </c>
      <c r="AU36" s="161">
        <f t="shared" si="16"/>
        <v>0.4</v>
      </c>
      <c r="AV36" s="161">
        <f t="shared" si="17"/>
        <v>0</v>
      </c>
      <c r="AW36" s="161">
        <f t="shared" si="18"/>
        <v>0</v>
      </c>
      <c r="AX36" s="161">
        <f t="shared" si="19"/>
        <v>0.2</v>
      </c>
      <c r="AY36" s="161">
        <f t="shared" si="20"/>
        <v>0</v>
      </c>
      <c r="AZ36" s="161">
        <f t="shared" si="21"/>
        <v>1</v>
      </c>
      <c r="BA36" s="161">
        <f t="shared" si="22"/>
        <v>0.4</v>
      </c>
      <c r="BB36" s="162">
        <f t="shared" si="23"/>
        <v>1</v>
      </c>
      <c r="BD36" s="149" t="s">
        <v>2021</v>
      </c>
      <c r="BE36" s="70" t="s">
        <v>591</v>
      </c>
      <c r="BF36" s="36">
        <f t="shared" si="14"/>
        <v>2</v>
      </c>
      <c r="BG36" s="36">
        <f t="shared" si="26"/>
        <v>1</v>
      </c>
      <c r="BH36" s="36">
        <f t="shared" si="24"/>
        <v>7</v>
      </c>
      <c r="BI36" s="68">
        <f t="shared" si="25"/>
        <v>7</v>
      </c>
    </row>
    <row r="37" spans="2:66" ht="24.6" customHeight="1" thickBot="1">
      <c r="B37" s="42" t="s">
        <v>1321</v>
      </c>
      <c r="D37" s="36">
        <f>COUNTIFS(Master!$C$5:$C$542, Calculation!$B37, Master!$E$5:$E$542, Calculation!D$3)</f>
        <v>2</v>
      </c>
      <c r="E37" s="36">
        <f>COUNTIFS(Master!$C$5:$C$542, Calculation!$B37, Master!$E$5:$E$542, Calculation!E$3)</f>
        <v>8</v>
      </c>
      <c r="F37" s="36">
        <f>COUNTIFS(Master!$C$5:$C$542, Calculation!$B37, Master!$E$5:$E$542, Calculation!F$3)</f>
        <v>6</v>
      </c>
      <c r="G37" s="36">
        <f>COUNTIFS(Master!$C$5:$C$542, Calculation!$B37, Master!$E$5:$E$542, Calculation!G$3)</f>
        <v>3</v>
      </c>
      <c r="H37" s="36">
        <f>COUNTIFS(Master!$C$5:$C$542, Calculation!$B37, Master!$E$5:$E$542, Calculation!H$3)</f>
        <v>5</v>
      </c>
      <c r="I37" s="68">
        <f t="shared" si="2"/>
        <v>24</v>
      </c>
      <c r="K37" s="45" t="s">
        <v>1321</v>
      </c>
      <c r="L37" s="37"/>
      <c r="M37" s="36">
        <f>COUNTIFS(Master!$C$5:$C$542, Calculation!$K37, Master!$E$5:$E$542, Calculation!M$3, Master!$L$5:$L$542, "Yes" )</f>
        <v>1</v>
      </c>
      <c r="N37" s="36">
        <f>COUNTIFS(Master!$C$5:$C$542, Calculation!$K37, Master!$E$5:$E$542, Calculation!N$3, Master!$L$5:$L$542, "Yes" )</f>
        <v>0</v>
      </c>
      <c r="O37" s="36">
        <f>COUNTIFS(Master!$C$5:$C$542, Calculation!$K37, Master!$E$5:$E$542, Calculation!O$3, Master!$L$5:$L$542, "Yes" )</f>
        <v>0</v>
      </c>
      <c r="P37" s="36">
        <f>COUNTIFS(Master!$C$5:$C$542, Calculation!$K37, Master!$E$5:$E$542, Calculation!P$3, Master!$L$5:$L$542, "Yes" )</f>
        <v>0</v>
      </c>
      <c r="Q37" s="36">
        <f>COUNTIFS(Master!$C$5:$C$542, Calculation!$K37, Master!$E$5:$E$542, Calculation!Q$3, Master!$L$5:$L$542, "Yes" )</f>
        <v>0</v>
      </c>
      <c r="R37" s="68">
        <f t="shared" si="3"/>
        <v>1</v>
      </c>
      <c r="T37" s="135" t="s">
        <v>1321</v>
      </c>
      <c r="V37" s="134">
        <f t="shared" si="4"/>
        <v>0.5</v>
      </c>
      <c r="W37" s="134">
        <f t="shared" si="5"/>
        <v>0</v>
      </c>
      <c r="X37" s="134">
        <f t="shared" si="6"/>
        <v>0</v>
      </c>
      <c r="Y37" s="134">
        <f t="shared" si="7"/>
        <v>0</v>
      </c>
      <c r="Z37" s="134">
        <f t="shared" si="8"/>
        <v>0</v>
      </c>
      <c r="AA37" s="68">
        <f t="shared" si="9"/>
        <v>0</v>
      </c>
      <c r="AI37" s="57"/>
      <c r="AR37" s="233"/>
      <c r="AS37" s="233"/>
      <c r="AT37" s="160"/>
      <c r="AU37" s="160"/>
      <c r="AV37" s="160"/>
      <c r="AW37" s="160"/>
      <c r="AX37" s="160"/>
      <c r="AY37" s="160"/>
      <c r="AZ37" s="160"/>
      <c r="BA37" s="160"/>
      <c r="BB37" s="160"/>
      <c r="BD37" s="234" t="s">
        <v>2450</v>
      </c>
      <c r="BE37" s="235"/>
      <c r="BF37" s="151">
        <f>SUM(BF23:BF36)</f>
        <v>129</v>
      </c>
      <c r="BG37" s="151">
        <f>SUM(BG23:BG36)</f>
        <v>22</v>
      </c>
      <c r="BH37" s="151">
        <f t="shared" ref="BH37" si="27">SUM(BH23:BH36)</f>
        <v>40</v>
      </c>
      <c r="BI37" s="152"/>
    </row>
    <row r="38" spans="2:66" ht="24.6" customHeight="1">
      <c r="B38" s="42" t="s">
        <v>1397</v>
      </c>
      <c r="D38" s="36">
        <f>COUNTIFS(Master!$C$5:$C$542, Calculation!$B38, Master!$E$5:$E$542, Calculation!D$3)</f>
        <v>2</v>
      </c>
      <c r="E38" s="36">
        <f>COUNTIFS(Master!$C$5:$C$542, Calculation!$B38, Master!$E$5:$E$542, Calculation!E$3)</f>
        <v>1</v>
      </c>
      <c r="F38" s="36">
        <f>COUNTIFS(Master!$C$5:$C$542, Calculation!$B38, Master!$E$5:$E$542, Calculation!F$3)</f>
        <v>4</v>
      </c>
      <c r="G38" s="36">
        <f>COUNTIFS(Master!$C$5:$C$542, Calculation!$B38, Master!$E$5:$E$542, Calculation!G$3)</f>
        <v>1</v>
      </c>
      <c r="H38" s="36">
        <f>COUNTIFS(Master!$C$5:$C$542, Calculation!$B38, Master!$E$5:$E$542, Calculation!H$3)</f>
        <v>3</v>
      </c>
      <c r="I38" s="68">
        <f t="shared" si="2"/>
        <v>11</v>
      </c>
      <c r="K38" s="45" t="s">
        <v>1397</v>
      </c>
      <c r="L38" s="37"/>
      <c r="M38" s="36">
        <f>COUNTIFS(Master!$C$5:$C$542, Calculation!$K38, Master!$E$5:$E$542, Calculation!M$3, Master!$L$5:$L$542, "Yes" )</f>
        <v>2</v>
      </c>
      <c r="N38" s="36">
        <f>COUNTIFS(Master!$C$5:$C$542, Calculation!$K38, Master!$E$5:$E$542, Calculation!N$3, Master!$L$5:$L$542, "Yes" )</f>
        <v>0</v>
      </c>
      <c r="O38" s="36">
        <f>COUNTIFS(Master!$C$5:$C$542, Calculation!$K38, Master!$E$5:$E$542, Calculation!O$3, Master!$L$5:$L$542, "Yes" )</f>
        <v>0</v>
      </c>
      <c r="P38" s="36">
        <f>COUNTIFS(Master!$C$5:$C$542, Calculation!$K38, Master!$E$5:$E$542, Calculation!P$3, Master!$L$5:$L$542, "Yes" )</f>
        <v>0</v>
      </c>
      <c r="Q38" s="36">
        <f>COUNTIFS(Master!$C$5:$C$542, Calculation!$K38, Master!$E$5:$E$542, Calculation!Q$3, Master!$L$5:$L$542, "Yes" )</f>
        <v>0</v>
      </c>
      <c r="R38" s="68">
        <f t="shared" si="3"/>
        <v>2</v>
      </c>
      <c r="T38" s="135" t="s">
        <v>1397</v>
      </c>
      <c r="V38" s="134">
        <f t="shared" si="4"/>
        <v>1</v>
      </c>
      <c r="W38" s="134">
        <f t="shared" si="5"/>
        <v>0</v>
      </c>
      <c r="X38" s="134">
        <f t="shared" si="6"/>
        <v>0</v>
      </c>
      <c r="Y38" s="134">
        <f t="shared" si="7"/>
        <v>0</v>
      </c>
      <c r="Z38" s="134">
        <f t="shared" si="8"/>
        <v>0</v>
      </c>
      <c r="AA38" s="68">
        <f t="shared" si="9"/>
        <v>1</v>
      </c>
      <c r="AI38" s="57"/>
    </row>
    <row r="39" spans="2:66" ht="24.6" customHeight="1">
      <c r="B39" s="42" t="s">
        <v>1433</v>
      </c>
      <c r="D39" s="36">
        <f>COUNTIFS(Master!$C$5:$C$542, Calculation!$B39, Master!$E$5:$E$542, Calculation!D$3)</f>
        <v>1</v>
      </c>
      <c r="E39" s="36">
        <f>COUNTIFS(Master!$C$5:$C$542, Calculation!$B39, Master!$E$5:$E$542, Calculation!E$3)</f>
        <v>6</v>
      </c>
      <c r="F39" s="36">
        <f>COUNTIFS(Master!$C$5:$C$542, Calculation!$B39, Master!$E$5:$E$542, Calculation!F$3)</f>
        <v>2</v>
      </c>
      <c r="G39" s="36">
        <f>COUNTIFS(Master!$C$5:$C$542, Calculation!$B39, Master!$E$5:$E$542, Calculation!G$3)</f>
        <v>1</v>
      </c>
      <c r="H39" s="36">
        <f>COUNTIFS(Master!$C$5:$C$542, Calculation!$B39, Master!$E$5:$E$542, Calculation!H$3)</f>
        <v>4</v>
      </c>
      <c r="I39" s="68">
        <f t="shared" si="2"/>
        <v>14</v>
      </c>
      <c r="K39" s="45" t="s">
        <v>1433</v>
      </c>
      <c r="L39" s="37"/>
      <c r="M39" s="36">
        <f>COUNTIFS(Master!$C$5:$C$542, Calculation!$K39, Master!$E$5:$E$542, Calculation!M$3, Master!$L$5:$L$542, "Yes" )</f>
        <v>0</v>
      </c>
      <c r="N39" s="36">
        <f>COUNTIFS(Master!$C$5:$C$542, Calculation!$K39, Master!$E$5:$E$542, Calculation!N$3, Master!$L$5:$L$542, "Yes" )</f>
        <v>1</v>
      </c>
      <c r="O39" s="36">
        <f>COUNTIFS(Master!$C$5:$C$542, Calculation!$K39, Master!$E$5:$E$542, Calculation!O$3, Master!$L$5:$L$542, "Yes" )</f>
        <v>0</v>
      </c>
      <c r="P39" s="36">
        <f>COUNTIFS(Master!$C$5:$C$542, Calculation!$K39, Master!$E$5:$E$542, Calculation!P$3, Master!$L$5:$L$542, "Yes" )</f>
        <v>0</v>
      </c>
      <c r="Q39" s="36">
        <f>COUNTIFS(Master!$C$5:$C$542, Calculation!$K39, Master!$E$5:$E$542, Calculation!Q$3, Master!$L$5:$L$542, "Yes" )</f>
        <v>0</v>
      </c>
      <c r="R39" s="68">
        <f t="shared" si="3"/>
        <v>1</v>
      </c>
      <c r="T39" s="135" t="s">
        <v>1433</v>
      </c>
      <c r="V39" s="134">
        <f t="shared" si="4"/>
        <v>0</v>
      </c>
      <c r="W39" s="134">
        <f t="shared" si="5"/>
        <v>0.16666666666666666</v>
      </c>
      <c r="X39" s="134">
        <f t="shared" si="6"/>
        <v>0</v>
      </c>
      <c r="Y39" s="134">
        <f t="shared" si="7"/>
        <v>0</v>
      </c>
      <c r="Z39" s="134">
        <f t="shared" si="8"/>
        <v>0</v>
      </c>
      <c r="AA39" s="68">
        <f t="shared" si="9"/>
        <v>0</v>
      </c>
      <c r="AI39" s="57"/>
    </row>
    <row r="40" spans="2:66" ht="24.6" customHeight="1">
      <c r="B40" s="42" t="s">
        <v>1483</v>
      </c>
      <c r="D40" s="36">
        <f>COUNTIFS(Master!$C$5:$C$542, Calculation!$B40, Master!$E$5:$E$542, Calculation!D$3)</f>
        <v>1</v>
      </c>
      <c r="E40" s="36">
        <f>COUNTIFS(Master!$C$5:$C$542, Calculation!$B40, Master!$E$5:$E$542, Calculation!E$3)</f>
        <v>6</v>
      </c>
      <c r="F40" s="36">
        <f>COUNTIFS(Master!$C$5:$C$542, Calculation!$B40, Master!$E$5:$E$542, Calculation!F$3)</f>
        <v>4</v>
      </c>
      <c r="G40" s="36">
        <f>COUNTIFS(Master!$C$5:$C$542, Calculation!$B40, Master!$E$5:$E$542, Calculation!G$3)</f>
        <v>1</v>
      </c>
      <c r="H40" s="36">
        <f>COUNTIFS(Master!$C$5:$C$542, Calculation!$B40, Master!$E$5:$E$542, Calculation!H$3)</f>
        <v>1</v>
      </c>
      <c r="I40" s="68">
        <f t="shared" ref="I40:I45" si="28">SUM(D40:H40)</f>
        <v>13</v>
      </c>
      <c r="K40" s="45" t="s">
        <v>1483</v>
      </c>
      <c r="L40" s="37"/>
      <c r="M40" s="36">
        <f>COUNTIFS(Master!$C$5:$C$542, Calculation!$K40, Master!$E$5:$E$542, Calculation!M$3, Master!$L$5:$L$542, "Yes" )</f>
        <v>0</v>
      </c>
      <c r="N40" s="36">
        <f>COUNTIFS(Master!$C$5:$C$542, Calculation!$K40, Master!$E$5:$E$542, Calculation!N$3, Master!$L$5:$L$542, "Yes" )</f>
        <v>0</v>
      </c>
      <c r="O40" s="36">
        <f>COUNTIFS(Master!$C$5:$C$542, Calculation!$K40, Master!$E$5:$E$542, Calculation!O$3, Master!$L$5:$L$542, "Yes" )</f>
        <v>0</v>
      </c>
      <c r="P40" s="36">
        <f>COUNTIFS(Master!$C$5:$C$542, Calculation!$K40, Master!$E$5:$E$542, Calculation!P$3, Master!$L$5:$L$542, "Yes" )</f>
        <v>0</v>
      </c>
      <c r="Q40" s="36">
        <f>COUNTIFS(Master!$C$5:$C$542, Calculation!$K40, Master!$E$5:$E$542, Calculation!Q$3, Master!$L$5:$L$542, "Yes" )</f>
        <v>0</v>
      </c>
      <c r="R40" s="68">
        <f t="shared" si="3"/>
        <v>0</v>
      </c>
      <c r="T40" s="135" t="s">
        <v>1483</v>
      </c>
      <c r="V40" s="134">
        <f t="shared" ref="V40:V45" si="29">M40/D40</f>
        <v>0</v>
      </c>
      <c r="W40" s="134">
        <f t="shared" si="5"/>
        <v>0</v>
      </c>
      <c r="X40" s="134">
        <f t="shared" si="6"/>
        <v>0</v>
      </c>
      <c r="Y40" s="134">
        <f t="shared" si="7"/>
        <v>0</v>
      </c>
      <c r="Z40" s="134">
        <f t="shared" si="8"/>
        <v>0</v>
      </c>
      <c r="AA40" s="68">
        <f t="shared" ref="AA40:AA45" si="30">IF(V40=1,IF(W40=1,IF(X40=1,IF(Y40=1,IF(Z40=1,5,4),3),2),1),0)</f>
        <v>0</v>
      </c>
      <c r="AI40" s="57"/>
      <c r="AK40" s="251" t="s">
        <v>2454</v>
      </c>
      <c r="AL40" s="251"/>
      <c r="AM40" s="251"/>
      <c r="AN40" s="251"/>
      <c r="AO40" s="251"/>
      <c r="AP40" s="251"/>
      <c r="AQ40" s="251"/>
      <c r="AR40" s="251"/>
      <c r="AS40" s="251"/>
      <c r="AT40" s="251"/>
      <c r="AU40" s="251"/>
      <c r="AV40" s="251"/>
      <c r="AW40" s="251"/>
      <c r="AX40" s="251"/>
      <c r="AY40" s="251"/>
      <c r="AZ40" s="251"/>
      <c r="BA40" s="251"/>
      <c r="BB40" s="251"/>
      <c r="BC40" s="251"/>
      <c r="BD40" s="251"/>
      <c r="BE40" s="251"/>
      <c r="BF40" s="251"/>
      <c r="BG40" s="251"/>
      <c r="BH40" s="251"/>
      <c r="BI40" s="251"/>
      <c r="BJ40" s="251"/>
      <c r="BK40" s="251"/>
      <c r="BL40" s="251"/>
      <c r="BM40" s="251"/>
      <c r="BN40" s="251"/>
    </row>
    <row r="41" spans="2:66" ht="24.6" customHeight="1" thickBot="1">
      <c r="B41" s="42" t="s">
        <v>1530</v>
      </c>
      <c r="D41" s="36">
        <f>COUNTIFS(Master!$C$5:$C$542, Calculation!$B41, Master!$E$5:$E$542, Calculation!D$3)</f>
        <v>1</v>
      </c>
      <c r="E41" s="36">
        <f>COUNTIFS(Master!$C$5:$C$542, Calculation!$B41, Master!$E$5:$E$542, Calculation!E$3)</f>
        <v>1</v>
      </c>
      <c r="F41" s="36">
        <f>COUNTIFS(Master!$C$5:$C$542, Calculation!$B41, Master!$E$5:$E$542, Calculation!F$3)</f>
        <v>3</v>
      </c>
      <c r="G41" s="36">
        <f>COUNTIFS(Master!$C$5:$C$542, Calculation!$B41, Master!$E$5:$E$542, Calculation!G$3)</f>
        <v>2</v>
      </c>
      <c r="H41" s="36">
        <f>COUNTIFS(Master!$C$5:$C$542, Calculation!$B41, Master!$E$5:$E$542, Calculation!H$3)</f>
        <v>1</v>
      </c>
      <c r="I41" s="68">
        <f t="shared" si="28"/>
        <v>8</v>
      </c>
      <c r="K41" s="45" t="s">
        <v>1530</v>
      </c>
      <c r="L41" s="37"/>
      <c r="M41" s="36">
        <f>COUNTIFS(Master!$C$5:$C$542, Calculation!$K41, Master!$E$5:$E$542, Calculation!M$3, Master!$L$5:$L$542, "Yes" )</f>
        <v>0</v>
      </c>
      <c r="N41" s="36">
        <f>COUNTIFS(Master!$C$5:$C$542, Calculation!$K41, Master!$E$5:$E$542, Calculation!N$3, Master!$L$5:$L$542, "Yes" )</f>
        <v>0</v>
      </c>
      <c r="O41" s="36">
        <f>COUNTIFS(Master!$C$5:$C$542, Calculation!$K41, Master!$E$5:$E$542, Calculation!O$3, Master!$L$5:$L$542, "Yes" )</f>
        <v>0</v>
      </c>
      <c r="P41" s="36">
        <f>COUNTIFS(Master!$C$5:$C$542, Calculation!$K41, Master!$E$5:$E$542, Calculation!P$3, Master!$L$5:$L$542, "Yes" )</f>
        <v>0</v>
      </c>
      <c r="Q41" s="36">
        <f>COUNTIFS(Master!$C$5:$C$542, Calculation!$K41, Master!$E$5:$E$542, Calculation!Q$3, Master!$L$5:$L$542, "Yes" )</f>
        <v>0</v>
      </c>
      <c r="R41" s="68">
        <f t="shared" si="3"/>
        <v>0</v>
      </c>
      <c r="T41" s="135" t="s">
        <v>1530</v>
      </c>
      <c r="V41" s="134">
        <f t="shared" si="29"/>
        <v>0</v>
      </c>
      <c r="W41" s="134">
        <f t="shared" si="5"/>
        <v>0</v>
      </c>
      <c r="X41" s="134">
        <f t="shared" si="6"/>
        <v>0</v>
      </c>
      <c r="Y41" s="134">
        <f t="shared" si="7"/>
        <v>0</v>
      </c>
      <c r="Z41" s="134">
        <f t="shared" si="8"/>
        <v>0</v>
      </c>
      <c r="AA41" s="68">
        <f t="shared" si="30"/>
        <v>0</v>
      </c>
      <c r="AI41" s="57"/>
    </row>
    <row r="42" spans="2:66" ht="24.6" customHeight="1">
      <c r="B42" s="42" t="s">
        <v>1558</v>
      </c>
      <c r="D42" s="36">
        <f>COUNTIFS(Master!$C$5:$C$542, Calculation!$B42, Master!$E$5:$E$542, Calculation!D$3)</f>
        <v>1</v>
      </c>
      <c r="E42" s="36">
        <f>COUNTIFS(Master!$C$5:$C$542, Calculation!$B42, Master!$E$5:$E$542, Calculation!E$3)</f>
        <v>2</v>
      </c>
      <c r="F42" s="36">
        <f>COUNTIFS(Master!$C$5:$C$542, Calculation!$B42, Master!$E$5:$E$542, Calculation!F$3)</f>
        <v>7</v>
      </c>
      <c r="G42" s="36">
        <f>COUNTIFS(Master!$C$5:$C$542, Calculation!$B42, Master!$E$5:$E$542, Calculation!G$3)</f>
        <v>1</v>
      </c>
      <c r="H42" s="36">
        <f>COUNTIFS(Master!$C$5:$C$542, Calculation!$B42, Master!$E$5:$E$542, Calculation!H$3)</f>
        <v>2</v>
      </c>
      <c r="I42" s="68">
        <f>SUM(D42:H42)</f>
        <v>13</v>
      </c>
      <c r="K42" s="45" t="s">
        <v>1558</v>
      </c>
      <c r="L42" s="37"/>
      <c r="M42" s="36">
        <f>COUNTIFS(Master!$C$5:$C$542, Calculation!$K42, Master!$E$5:$E$542, Calculation!M$3, Master!$L$5:$L$542, "Yes" )</f>
        <v>0</v>
      </c>
      <c r="N42" s="36">
        <f>COUNTIFS(Master!$C$5:$C$542, Calculation!$K42, Master!$E$5:$E$542, Calculation!N$3, Master!$L$5:$L$542, "Yes" )</f>
        <v>0</v>
      </c>
      <c r="O42" s="36">
        <f>COUNTIFS(Master!$C$5:$C$542, Calculation!$K42, Master!$E$5:$E$542, Calculation!O$3, Master!$L$5:$L$542, "Yes" )</f>
        <v>0</v>
      </c>
      <c r="P42" s="36">
        <f>COUNTIFS(Master!$C$5:$C$542, Calculation!$K42, Master!$E$5:$E$542, Calculation!P$3, Master!$L$5:$L$542, "Yes" )</f>
        <v>0</v>
      </c>
      <c r="Q42" s="36">
        <f>COUNTIFS(Master!$C$5:$C$542, Calculation!$K42, Master!$E$5:$E$542, Calculation!Q$3, Master!$L$5:$L$542, "Yes" )</f>
        <v>0</v>
      </c>
      <c r="R42" s="68">
        <f t="shared" si="3"/>
        <v>0</v>
      </c>
      <c r="T42" s="135" t="s">
        <v>1558</v>
      </c>
      <c r="V42" s="134">
        <f t="shared" si="29"/>
        <v>0</v>
      </c>
      <c r="W42" s="134">
        <f t="shared" si="5"/>
        <v>0</v>
      </c>
      <c r="X42" s="134">
        <f t="shared" si="6"/>
        <v>0</v>
      </c>
      <c r="Y42" s="134">
        <f t="shared" si="7"/>
        <v>0</v>
      </c>
      <c r="Z42" s="134">
        <f t="shared" si="8"/>
        <v>0</v>
      </c>
      <c r="AA42" s="68">
        <f t="shared" si="30"/>
        <v>0</v>
      </c>
      <c r="AI42" s="57"/>
      <c r="AR42" s="144" t="s">
        <v>2455</v>
      </c>
      <c r="AS42" s="146"/>
      <c r="AT42" s="146"/>
      <c r="AU42" s="146"/>
      <c r="AV42" s="147"/>
      <c r="BD42" s="144" t="s">
        <v>2452</v>
      </c>
      <c r="BE42" s="146"/>
      <c r="BF42" s="146"/>
      <c r="BG42" s="147"/>
    </row>
    <row r="43" spans="2:66" ht="24.6" customHeight="1">
      <c r="B43" s="42" t="s">
        <v>1605</v>
      </c>
      <c r="D43" s="36">
        <f>COUNTIFS(Master!$C$5:$C$542, Calculation!$B43, Master!$E$5:$E$542, Calculation!D$3)</f>
        <v>1</v>
      </c>
      <c r="E43" s="36">
        <f>COUNTIFS(Master!$C$5:$C$542, Calculation!$B43, Master!$E$5:$E$542, Calculation!E$3)</f>
        <v>5</v>
      </c>
      <c r="F43" s="36">
        <f>COUNTIFS(Master!$C$5:$C$542, Calculation!$B43, Master!$E$5:$E$542, Calculation!F$3)</f>
        <v>4</v>
      </c>
      <c r="G43" s="36">
        <f>COUNTIFS(Master!$C$5:$C$542, Calculation!$B43, Master!$E$5:$E$542, Calculation!G$3)</f>
        <v>1</v>
      </c>
      <c r="H43" s="36">
        <f>COUNTIFS(Master!$C$5:$C$542, Calculation!$B43, Master!$E$5:$E$542, Calculation!H$3)</f>
        <v>1</v>
      </c>
      <c r="I43" s="68">
        <f t="shared" si="28"/>
        <v>12</v>
      </c>
      <c r="K43" s="45" t="s">
        <v>1605</v>
      </c>
      <c r="L43" s="37"/>
      <c r="M43" s="36">
        <f>COUNTIFS(Master!$C$5:$C$542, Calculation!$K43, Master!$E$5:$E$542, Calculation!M$3, Master!$L$5:$L$542, "Yes" )</f>
        <v>0</v>
      </c>
      <c r="N43" s="36">
        <f>COUNTIFS(Master!$C$5:$C$542, Calculation!$K43, Master!$E$5:$E$542, Calculation!N$3, Master!$L$5:$L$542, "Yes" )</f>
        <v>1</v>
      </c>
      <c r="O43" s="36">
        <f>COUNTIFS(Master!$C$5:$C$542, Calculation!$K43, Master!$E$5:$E$542, Calculation!O$3, Master!$L$5:$L$542, "Yes" )</f>
        <v>0</v>
      </c>
      <c r="P43" s="36">
        <f>COUNTIFS(Master!$C$5:$C$542, Calculation!$K43, Master!$E$5:$E$542, Calculation!P$3, Master!$L$5:$L$542, "Yes" )</f>
        <v>0</v>
      </c>
      <c r="Q43" s="36">
        <f>COUNTIFS(Master!$C$5:$C$542, Calculation!$K43, Master!$E$5:$E$542, Calculation!Q$3, Master!$L$5:$L$542, "Yes" )</f>
        <v>0</v>
      </c>
      <c r="R43" s="68">
        <f t="shared" si="3"/>
        <v>1</v>
      </c>
      <c r="T43" s="135" t="s">
        <v>1605</v>
      </c>
      <c r="V43" s="134">
        <f t="shared" si="29"/>
        <v>0</v>
      </c>
      <c r="W43" s="134">
        <f t="shared" si="5"/>
        <v>0.2</v>
      </c>
      <c r="X43" s="134">
        <f t="shared" si="6"/>
        <v>0</v>
      </c>
      <c r="Y43" s="134">
        <f t="shared" si="7"/>
        <v>0</v>
      </c>
      <c r="Z43" s="134">
        <f t="shared" si="8"/>
        <v>0</v>
      </c>
      <c r="AA43" s="68">
        <f t="shared" si="30"/>
        <v>0</v>
      </c>
      <c r="AI43" s="57"/>
      <c r="AR43" s="180" t="s">
        <v>1723</v>
      </c>
      <c r="AS43" s="189" t="s">
        <v>2433</v>
      </c>
      <c r="AT43" s="190" t="s">
        <v>2432</v>
      </c>
      <c r="AU43" s="191" t="s">
        <v>2431</v>
      </c>
      <c r="AV43" s="192" t="s">
        <v>2445</v>
      </c>
      <c r="BD43" s="180" t="s">
        <v>1723</v>
      </c>
      <c r="BE43" s="176" t="s">
        <v>2433</v>
      </c>
      <c r="BF43" s="179" t="s">
        <v>2432</v>
      </c>
      <c r="BG43" s="181" t="s">
        <v>2431</v>
      </c>
    </row>
    <row r="44" spans="2:66" ht="24.6" customHeight="1">
      <c r="B44" s="42" t="s">
        <v>1645</v>
      </c>
      <c r="D44" s="36">
        <f>COUNTIFS(Master!$C$5:$C$542, Calculation!$B44, Master!$E$5:$E$542, Calculation!D$3)</f>
        <v>1</v>
      </c>
      <c r="E44" s="36">
        <f>COUNTIFS(Master!$C$5:$C$542, Calculation!$B44, Master!$E$5:$E$542, Calculation!E$3)</f>
        <v>3</v>
      </c>
      <c r="F44" s="36">
        <f>COUNTIFS(Master!$C$5:$C$542, Calculation!$B44, Master!$E$5:$E$542, Calculation!F$3)</f>
        <v>4</v>
      </c>
      <c r="G44" s="36">
        <f>COUNTIFS(Master!$C$5:$C$542, Calculation!$B44, Master!$E$5:$E$542, Calculation!G$3)</f>
        <v>1</v>
      </c>
      <c r="H44" s="36">
        <f>COUNTIFS(Master!$C$5:$C$542, Calculation!$B44, Master!$E$5:$E$542, Calculation!H$3)</f>
        <v>1</v>
      </c>
      <c r="I44" s="68">
        <f t="shared" si="28"/>
        <v>10</v>
      </c>
      <c r="K44" s="45" t="s">
        <v>1645</v>
      </c>
      <c r="L44" s="37"/>
      <c r="M44" s="36">
        <f>COUNTIFS(Master!$C$5:$C$542, Calculation!$K44, Master!$E$5:$E$542, Calculation!M$3, Master!$L$5:$L$542, "Yes" )</f>
        <v>0</v>
      </c>
      <c r="N44" s="36">
        <f>COUNTIFS(Master!$C$5:$C$542, Calculation!$K44, Master!$E$5:$E$542, Calculation!N$3, Master!$L$5:$L$542, "Yes" )</f>
        <v>0</v>
      </c>
      <c r="O44" s="36">
        <f>COUNTIFS(Master!$C$5:$C$542, Calculation!$K44, Master!$E$5:$E$542, Calculation!O$3, Master!$L$5:$L$542, "Yes" )</f>
        <v>0</v>
      </c>
      <c r="P44" s="36">
        <f>COUNTIFS(Master!$C$5:$C$542, Calculation!$K44, Master!$E$5:$E$542, Calculation!P$3, Master!$L$5:$L$542, "Yes" )</f>
        <v>0</v>
      </c>
      <c r="Q44" s="36">
        <f>COUNTIFS(Master!$C$5:$C$542, Calculation!$K44, Master!$E$5:$E$542, Calculation!Q$3, Master!$L$5:$L$542, "Yes" )</f>
        <v>0</v>
      </c>
      <c r="R44" s="68">
        <f t="shared" si="3"/>
        <v>0</v>
      </c>
      <c r="T44" s="135" t="s">
        <v>1645</v>
      </c>
      <c r="V44" s="134">
        <f t="shared" si="29"/>
        <v>0</v>
      </c>
      <c r="W44" s="134">
        <f t="shared" si="5"/>
        <v>0</v>
      </c>
      <c r="X44" s="134">
        <f t="shared" si="6"/>
        <v>0</v>
      </c>
      <c r="Y44" s="134">
        <f t="shared" si="7"/>
        <v>0</v>
      </c>
      <c r="Z44" s="134">
        <f t="shared" si="8"/>
        <v>0</v>
      </c>
      <c r="AA44" s="68">
        <f t="shared" si="30"/>
        <v>0</v>
      </c>
      <c r="AI44" s="57"/>
      <c r="AR44" s="149" t="s">
        <v>2456</v>
      </c>
      <c r="AS44" s="85">
        <f>IFERROR(ROUND(AT18/$AM$18,1),0)</f>
        <v>0.4</v>
      </c>
      <c r="AT44" s="187">
        <f>IFERROR(ROUND(AW18/$AM$18,1),0)</f>
        <v>0.2</v>
      </c>
      <c r="AU44" s="85">
        <f>IFERROR(ROUND(AZ18/$AM$18,1),0)</f>
        <v>0.4</v>
      </c>
      <c r="AV44" s="153">
        <f>SUM(AS44:AU44)</f>
        <v>1</v>
      </c>
      <c r="BD44" s="149" t="s">
        <v>15</v>
      </c>
      <c r="BE44" s="36">
        <f>SUM($AT4:$AV4)</f>
        <v>3</v>
      </c>
      <c r="BF44" s="36">
        <f>SUM($AW4:$AY4)</f>
        <v>11</v>
      </c>
      <c r="BG44" s="68">
        <f>SUM($AZ4:$BB4)</f>
        <v>14</v>
      </c>
    </row>
    <row r="45" spans="2:66" ht="24.6" customHeight="1" thickBot="1">
      <c r="B45" s="42" t="s">
        <v>1680</v>
      </c>
      <c r="D45" s="36">
        <f>COUNTIFS(Master!$C$5:$C$542, Calculation!$B45, Master!$E$5:$E$542, Calculation!D$3)</f>
        <v>1</v>
      </c>
      <c r="E45" s="36">
        <f>COUNTIFS(Master!$C$5:$C$542, Calculation!$B45, Master!$E$5:$E$542, Calculation!E$3)</f>
        <v>2</v>
      </c>
      <c r="F45" s="36">
        <f>COUNTIFS(Master!$C$5:$C$542, Calculation!$B45, Master!$E$5:$E$542, Calculation!F$3)</f>
        <v>7</v>
      </c>
      <c r="G45" s="36">
        <f>COUNTIFS(Master!$C$5:$C$542, Calculation!$B45, Master!$E$5:$E$542, Calculation!G$3)</f>
        <v>1</v>
      </c>
      <c r="H45" s="36">
        <f>COUNTIFS(Master!$C$5:$C$542, Calculation!$B45, Master!$E$5:$E$542, Calculation!H$3)</f>
        <v>1</v>
      </c>
      <c r="I45" s="68">
        <f t="shared" si="28"/>
        <v>12</v>
      </c>
      <c r="K45" s="45" t="s">
        <v>1680</v>
      </c>
      <c r="L45" s="37"/>
      <c r="M45" s="36">
        <f>COUNTIFS(Master!$C$5:$C$542, Calculation!$K45, Master!$E$5:$E$542, Calculation!M$3, Master!$L$5:$L$542, "Yes" )</f>
        <v>0</v>
      </c>
      <c r="N45" s="36">
        <f>COUNTIFS(Master!$C$5:$C$542, Calculation!$K45, Master!$E$5:$E$542, Calculation!N$3, Master!$L$5:$L$542, "Yes" )</f>
        <v>0</v>
      </c>
      <c r="O45" s="36">
        <f>COUNTIFS(Master!$C$5:$C$542, Calculation!$K45, Master!$E$5:$E$542, Calculation!O$3, Master!$L$5:$L$542, "Yes" )</f>
        <v>0</v>
      </c>
      <c r="P45" s="36">
        <f>COUNTIFS(Master!$C$5:$C$542, Calculation!$K45, Master!$E$5:$E$542, Calculation!P$3, Master!$L$5:$L$542, "Yes" )</f>
        <v>0</v>
      </c>
      <c r="Q45" s="36">
        <f>COUNTIFS(Master!$C$5:$C$542, Calculation!$K45, Master!$E$5:$E$542, Calculation!Q$3, Master!$L$5:$L$542, "Yes" )</f>
        <v>0</v>
      </c>
      <c r="R45" s="68">
        <f t="shared" si="3"/>
        <v>0</v>
      </c>
      <c r="T45" s="137" t="s">
        <v>1680</v>
      </c>
      <c r="U45" s="132"/>
      <c r="V45" s="133">
        <f t="shared" si="29"/>
        <v>0</v>
      </c>
      <c r="W45" s="133">
        <f t="shared" si="5"/>
        <v>0</v>
      </c>
      <c r="X45" s="133">
        <f t="shared" si="6"/>
        <v>0</v>
      </c>
      <c r="Y45" s="133">
        <f t="shared" si="7"/>
        <v>0</v>
      </c>
      <c r="Z45" s="133">
        <f t="shared" si="8"/>
        <v>0</v>
      </c>
      <c r="AA45" s="77">
        <f t="shared" si="30"/>
        <v>0</v>
      </c>
      <c r="AI45" s="57"/>
      <c r="AR45" s="149" t="s">
        <v>2457</v>
      </c>
      <c r="AS45" s="85">
        <f>IFERROR(ROUND(AU18/$AN$18,1),0)</f>
        <v>0.9</v>
      </c>
      <c r="AT45" s="187">
        <f>IFERROR(ROUND(AX18/$AN$18,1),0)</f>
        <v>0.1</v>
      </c>
      <c r="AU45" s="85">
        <f>IFERROR(ROUND(BA18/$AN$18,1),0)</f>
        <v>0.1</v>
      </c>
      <c r="AV45" s="153">
        <f>SUM(AS45:AU45)</f>
        <v>1.1000000000000001</v>
      </c>
      <c r="BD45" s="149" t="s">
        <v>2449</v>
      </c>
      <c r="BE45" s="36">
        <f>SUM($AT5:$AV5)</f>
        <v>19</v>
      </c>
      <c r="BF45" s="36">
        <f t="shared" ref="BF45:BF57" si="31">SUM($AW5:$AY5)</f>
        <v>0</v>
      </c>
      <c r="BG45" s="68">
        <f t="shared" ref="BG45:BG57" si="32">SUM($AZ5:$BB5)</f>
        <v>1</v>
      </c>
    </row>
    <row r="46" spans="2:66" ht="24.6" customHeight="1" thickBot="1">
      <c r="B46" s="262" t="s">
        <v>2439</v>
      </c>
      <c r="C46" s="263"/>
      <c r="D46" s="263"/>
      <c r="E46" s="263"/>
      <c r="F46" s="263"/>
      <c r="G46" s="263"/>
      <c r="H46" s="263"/>
      <c r="I46" s="77">
        <f>SUM(I4:I45)</f>
        <v>478</v>
      </c>
      <c r="K46" s="262" t="s">
        <v>2440</v>
      </c>
      <c r="L46" s="263"/>
      <c r="M46" s="263"/>
      <c r="N46" s="263"/>
      <c r="O46" s="263"/>
      <c r="P46" s="263"/>
      <c r="Q46" s="263"/>
      <c r="R46" s="77">
        <f>SUM(R4:R45)</f>
        <v>69</v>
      </c>
      <c r="AI46" s="57"/>
      <c r="AR46" s="154" t="s">
        <v>2458</v>
      </c>
      <c r="AS46" s="156">
        <f>IFERROR(ROUND(AV18/$AO$18,1),0)</f>
        <v>0.9</v>
      </c>
      <c r="AT46" s="188">
        <f>IFERROR(ROUND(AY18/$AO$18,1),0)</f>
        <v>0.1</v>
      </c>
      <c r="AU46" s="156">
        <f>IFERROR(ROUND(BB18/$AO$18,1),0)</f>
        <v>0.1</v>
      </c>
      <c r="AV46" s="157">
        <f>SUM(AS46:AU46)</f>
        <v>1.1000000000000001</v>
      </c>
      <c r="BD46" s="149" t="s">
        <v>443</v>
      </c>
      <c r="BE46" s="36">
        <f>SUM($AT6:$AV6)</f>
        <v>12</v>
      </c>
      <c r="BF46" s="36">
        <f t="shared" si="31"/>
        <v>0</v>
      </c>
      <c r="BG46" s="68">
        <f t="shared" si="32"/>
        <v>1</v>
      </c>
    </row>
    <row r="47" spans="2:66" ht="24.6" customHeight="1" thickBot="1">
      <c r="AC47" s="259" t="s">
        <v>2459</v>
      </c>
      <c r="AD47" s="260"/>
      <c r="AE47" s="261"/>
      <c r="AI47" s="57"/>
      <c r="AS47" s="69"/>
      <c r="AT47" s="36"/>
      <c r="AU47" s="36"/>
      <c r="AV47" s="36"/>
      <c r="BD47" s="149" t="s">
        <v>866</v>
      </c>
      <c r="BE47" s="36">
        <f t="shared" ref="BE47:BE57" si="33">SUM($AT7:$AV7)</f>
        <v>12</v>
      </c>
      <c r="BF47" s="36">
        <f t="shared" si="31"/>
        <v>1</v>
      </c>
      <c r="BG47" s="68">
        <f t="shared" si="32"/>
        <v>1</v>
      </c>
    </row>
    <row r="48" spans="2:66" ht="24.6" customHeight="1">
      <c r="AC48" s="113"/>
      <c r="AD48" s="264" t="s">
        <v>2460</v>
      </c>
      <c r="AE48" s="265"/>
      <c r="AI48" s="57"/>
      <c r="AR48" s="144" t="s">
        <v>2455</v>
      </c>
      <c r="AS48" s="146"/>
      <c r="AT48" s="146"/>
      <c r="AU48" s="146"/>
      <c r="AV48" s="147"/>
      <c r="BD48" s="149" t="s">
        <v>1833</v>
      </c>
      <c r="BE48" s="36">
        <f t="shared" si="33"/>
        <v>9</v>
      </c>
      <c r="BF48" s="36">
        <f t="shared" si="31"/>
        <v>0</v>
      </c>
      <c r="BG48" s="68">
        <f t="shared" si="32"/>
        <v>3</v>
      </c>
    </row>
    <row r="49" spans="21:59" ht="24.6" customHeight="1">
      <c r="AC49" s="113" t="s">
        <v>2</v>
      </c>
      <c r="AD49" s="66" t="s">
        <v>2461</v>
      </c>
      <c r="AE49" s="114" t="s">
        <v>2462</v>
      </c>
      <c r="AI49" s="57"/>
      <c r="AR49" s="180" t="s">
        <v>1723</v>
      </c>
      <c r="AS49" s="189" t="s">
        <v>2433</v>
      </c>
      <c r="AT49" s="190" t="s">
        <v>2432</v>
      </c>
      <c r="AU49" s="191" t="s">
        <v>2431</v>
      </c>
      <c r="AV49" s="192" t="s">
        <v>2445</v>
      </c>
      <c r="BD49" s="149" t="s">
        <v>1855</v>
      </c>
      <c r="BE49" s="36">
        <f t="shared" si="33"/>
        <v>9</v>
      </c>
      <c r="BF49" s="36">
        <f t="shared" si="31"/>
        <v>3</v>
      </c>
      <c r="BG49" s="68">
        <f t="shared" si="32"/>
        <v>1</v>
      </c>
    </row>
    <row r="50" spans="21:59" ht="24.6" customHeight="1">
      <c r="AC50" s="115" t="s">
        <v>443</v>
      </c>
      <c r="AD50" s="36">
        <f>IFERROR(ROUND(AVERAGE(AA15:AA18),2),"")</f>
        <v>0.5</v>
      </c>
      <c r="AE50" s="82">
        <v>5</v>
      </c>
      <c r="AI50" s="57"/>
      <c r="AR50" s="149" t="s">
        <v>2456</v>
      </c>
      <c r="AS50" s="36">
        <f>AT18</f>
        <v>32</v>
      </c>
      <c r="AT50" s="36">
        <f>AW18</f>
        <v>13</v>
      </c>
      <c r="AU50" s="36">
        <f>AZ18</f>
        <v>33</v>
      </c>
      <c r="AV50" s="68">
        <f>SUM(AS50:AU50)</f>
        <v>78</v>
      </c>
      <c r="BD50" s="149" t="s">
        <v>1870</v>
      </c>
      <c r="BE50" s="36">
        <f t="shared" si="33"/>
        <v>12</v>
      </c>
      <c r="BF50" s="36">
        <f t="shared" si="31"/>
        <v>3</v>
      </c>
      <c r="BG50" s="68">
        <f t="shared" si="32"/>
        <v>1</v>
      </c>
    </row>
    <row r="51" spans="21:59" ht="24.6" customHeight="1">
      <c r="U51" s="36"/>
      <c r="V51" s="79"/>
      <c r="AC51" s="115" t="s">
        <v>15</v>
      </c>
      <c r="AD51" s="36">
        <f>IFERROR(ROUND(AVERAGE(AA4:AA7),2),"")</f>
        <v>0.75</v>
      </c>
      <c r="AE51" s="82">
        <v>5</v>
      </c>
      <c r="AI51" s="57"/>
      <c r="AR51" s="149" t="s">
        <v>2457</v>
      </c>
      <c r="AS51" s="36">
        <f>AU18</f>
        <v>83</v>
      </c>
      <c r="AT51" s="36">
        <f>AX18</f>
        <v>8</v>
      </c>
      <c r="AU51" s="36">
        <f>BA18</f>
        <v>6</v>
      </c>
      <c r="AV51" s="68">
        <f>SUM(AS51:AU51)</f>
        <v>97</v>
      </c>
      <c r="BD51" s="149" t="s">
        <v>1899</v>
      </c>
      <c r="BE51" s="36">
        <f t="shared" si="33"/>
        <v>17</v>
      </c>
      <c r="BF51" s="36">
        <f t="shared" si="31"/>
        <v>0</v>
      </c>
      <c r="BG51" s="68">
        <f t="shared" si="32"/>
        <v>1</v>
      </c>
    </row>
    <row r="52" spans="21:59" ht="24.6" customHeight="1" thickBot="1">
      <c r="U52" s="36"/>
      <c r="V52" s="79"/>
      <c r="AC52" s="115" t="s">
        <v>2430</v>
      </c>
      <c r="AD52" s="36">
        <f>IFERROR(ROUND(AVERAGE(AA29:AA31),2),"")</f>
        <v>0</v>
      </c>
      <c r="AE52" s="82">
        <v>5</v>
      </c>
      <c r="AI52" s="57"/>
      <c r="AR52" s="154" t="s">
        <v>2458</v>
      </c>
      <c r="AS52" s="112">
        <f>AV18</f>
        <v>14</v>
      </c>
      <c r="AT52" s="112">
        <f>AY18</f>
        <v>1</v>
      </c>
      <c r="AU52" s="112">
        <f>BB18</f>
        <v>1</v>
      </c>
      <c r="AV52" s="77">
        <f>SUM(AS52:AU52)</f>
        <v>16</v>
      </c>
      <c r="BD52" s="149" t="s">
        <v>1921</v>
      </c>
      <c r="BE52" s="36">
        <f t="shared" si="33"/>
        <v>7</v>
      </c>
      <c r="BF52" s="36">
        <f t="shared" si="31"/>
        <v>1</v>
      </c>
      <c r="BG52" s="68">
        <f t="shared" si="32"/>
        <v>2</v>
      </c>
    </row>
    <row r="53" spans="21:59" ht="24.6" customHeight="1">
      <c r="U53" s="36"/>
      <c r="V53" s="79"/>
      <c r="AC53" s="115" t="s">
        <v>2021</v>
      </c>
      <c r="AD53" s="36">
        <f>IFERROR(ROUND(AVERAGE(AA19:AA20),2),"")</f>
        <v>1</v>
      </c>
      <c r="AE53" s="82">
        <v>5</v>
      </c>
      <c r="AI53" s="57"/>
      <c r="AS53" s="69"/>
      <c r="AT53" s="36"/>
      <c r="AU53" s="36"/>
      <c r="AV53" s="36"/>
      <c r="BD53" s="149" t="s">
        <v>1950</v>
      </c>
      <c r="BE53" s="36">
        <f t="shared" si="33"/>
        <v>7</v>
      </c>
      <c r="BF53" s="36">
        <f t="shared" si="31"/>
        <v>0</v>
      </c>
      <c r="BG53" s="68">
        <f t="shared" si="32"/>
        <v>1</v>
      </c>
    </row>
    <row r="54" spans="21:59" ht="24.6" customHeight="1">
      <c r="U54" s="36"/>
      <c r="V54" s="79"/>
      <c r="AC54" s="115" t="s">
        <v>1899</v>
      </c>
      <c r="AD54" s="36">
        <f>IFERROR(ROUND(AVERAGE(AA32:AA34),2),"")</f>
        <v>0.67</v>
      </c>
      <c r="AE54" s="82">
        <v>5</v>
      </c>
      <c r="AI54" s="57"/>
      <c r="AS54" s="69"/>
      <c r="AT54" s="36"/>
      <c r="AU54" s="36"/>
      <c r="AV54" s="36"/>
      <c r="BD54" s="149" t="s">
        <v>1603</v>
      </c>
      <c r="BE54" s="36">
        <f t="shared" si="33"/>
        <v>9</v>
      </c>
      <c r="BF54" s="36">
        <f t="shared" si="31"/>
        <v>0</v>
      </c>
      <c r="BG54" s="68">
        <f t="shared" si="32"/>
        <v>1</v>
      </c>
    </row>
    <row r="55" spans="21:59" ht="24.6" customHeight="1">
      <c r="U55" s="36"/>
      <c r="V55" s="79"/>
      <c r="AC55" s="115" t="s">
        <v>1870</v>
      </c>
      <c r="AD55" s="36">
        <f>IFERROR(ROUND(AVERAGE(AA11:AA14),2),"")</f>
        <v>0.75</v>
      </c>
      <c r="AE55" s="82">
        <v>5</v>
      </c>
      <c r="AI55" s="57"/>
      <c r="AS55" s="69"/>
      <c r="AT55" s="36"/>
      <c r="AU55" s="36"/>
      <c r="AV55" s="36"/>
      <c r="BD55" s="149" t="s">
        <v>1528</v>
      </c>
      <c r="BE55" s="36">
        <f t="shared" si="33"/>
        <v>9</v>
      </c>
      <c r="BF55" s="36">
        <f t="shared" si="31"/>
        <v>0</v>
      </c>
      <c r="BG55" s="68">
        <f t="shared" si="32"/>
        <v>0</v>
      </c>
    </row>
    <row r="56" spans="21:59" ht="24.6" customHeight="1">
      <c r="U56" s="36"/>
      <c r="V56" s="79"/>
      <c r="AC56" s="115" t="s">
        <v>195</v>
      </c>
      <c r="AD56" s="36">
        <f>IFERROR(ROUND(AVERAGE(AA8:AA10),2),"")</f>
        <v>1.67</v>
      </c>
      <c r="AE56" s="82">
        <v>5</v>
      </c>
      <c r="AI56" s="57"/>
      <c r="AS56" s="69"/>
      <c r="AT56" s="36"/>
      <c r="AU56" s="36"/>
      <c r="AV56" s="36"/>
      <c r="BD56" s="149" t="s">
        <v>195</v>
      </c>
      <c r="BE56" s="36">
        <f t="shared" si="33"/>
        <v>2</v>
      </c>
      <c r="BF56" s="36">
        <f t="shared" si="31"/>
        <v>2</v>
      </c>
      <c r="BG56" s="68">
        <f t="shared" si="32"/>
        <v>6</v>
      </c>
    </row>
    <row r="57" spans="21:59" ht="24.6" customHeight="1" thickBot="1">
      <c r="U57" s="36"/>
      <c r="V57" s="79"/>
      <c r="AC57" s="119" t="s">
        <v>1603</v>
      </c>
      <c r="AD57" s="36">
        <f>IFERROR(ROUND(AVERAGE(AA43:AA45),2),"")</f>
        <v>0</v>
      </c>
      <c r="AE57" s="82">
        <v>5</v>
      </c>
      <c r="AI57" s="57"/>
      <c r="AS57" s="69"/>
      <c r="AT57" s="36"/>
      <c r="AU57" s="36"/>
      <c r="AV57" s="36"/>
      <c r="BD57" s="154" t="s">
        <v>2021</v>
      </c>
      <c r="BE57" s="112">
        <f t="shared" si="33"/>
        <v>2</v>
      </c>
      <c r="BF57" s="112">
        <f t="shared" si="31"/>
        <v>1</v>
      </c>
      <c r="BG57" s="77">
        <f t="shared" si="32"/>
        <v>7</v>
      </c>
    </row>
    <row r="58" spans="21:59" ht="24.6" customHeight="1">
      <c r="U58" s="36"/>
      <c r="V58" s="79"/>
      <c r="AC58" s="115" t="s">
        <v>1855</v>
      </c>
      <c r="AD58" s="36">
        <f>IFERROR(ROUND(AVERAGE(AA39:AA40),2),"")</f>
        <v>0</v>
      </c>
      <c r="AE58" s="82">
        <v>5</v>
      </c>
      <c r="AI58" s="57"/>
    </row>
    <row r="59" spans="21:59" ht="24.6" customHeight="1">
      <c r="U59" s="36"/>
      <c r="V59" s="79"/>
      <c r="AC59" s="115" t="s">
        <v>1921</v>
      </c>
      <c r="AD59" s="36">
        <f>IFERROR(ROUND(AVERAGE(AA35:AA38),2),"")</f>
        <v>0.75</v>
      </c>
      <c r="AE59" s="82">
        <v>5</v>
      </c>
      <c r="AI59" s="57"/>
    </row>
    <row r="60" spans="21:59" ht="24.6" customHeight="1">
      <c r="U60" s="36"/>
      <c r="V60" s="79"/>
      <c r="AC60" s="115" t="s">
        <v>866</v>
      </c>
      <c r="AD60" s="36">
        <f>IFERROR(ROUND(AVERAGE(AA26:AA28),2),"")</f>
        <v>1</v>
      </c>
      <c r="AE60" s="82">
        <v>5</v>
      </c>
      <c r="AI60" s="57"/>
    </row>
    <row r="61" spans="21:59" ht="24.6" customHeight="1">
      <c r="U61" s="36"/>
      <c r="V61" s="79"/>
      <c r="AC61" s="115" t="s">
        <v>1950</v>
      </c>
      <c r="AD61" s="36">
        <f>IFERROR(ROUND(AVERAGE(AA21:AA22),2),"")</f>
        <v>0</v>
      </c>
      <c r="AE61" s="82">
        <v>5</v>
      </c>
      <c r="AI61" s="57"/>
    </row>
    <row r="62" spans="21:59" ht="24.6" customHeight="1">
      <c r="U62" s="36"/>
      <c r="V62" s="79"/>
      <c r="AC62" s="119" t="s">
        <v>1528</v>
      </c>
      <c r="AD62" s="36">
        <f>IFERROR(ROUND(AVERAGE(AA41:AA42),2),"")</f>
        <v>0</v>
      </c>
      <c r="AE62" s="82">
        <v>5</v>
      </c>
      <c r="AI62" s="57"/>
    </row>
    <row r="63" spans="21:59" ht="24.6" customHeight="1" thickBot="1">
      <c r="U63" s="36"/>
      <c r="V63" s="79"/>
      <c r="AC63" s="116" t="s">
        <v>1833</v>
      </c>
      <c r="AD63" s="117">
        <f>IFERROR(ROUND(AVERAGE(AA23:AA25),2),"")</f>
        <v>1.33</v>
      </c>
      <c r="AE63" s="84">
        <v>5</v>
      </c>
      <c r="AI63" s="57"/>
    </row>
    <row r="64" spans="21:59" ht="24.6" customHeight="1" thickBot="1">
      <c r="U64" s="36"/>
      <c r="V64" s="79"/>
      <c r="AI64" s="57"/>
    </row>
    <row r="65" spans="29:35" ht="24.6" customHeight="1">
      <c r="AC65" s="259" t="s">
        <v>2463</v>
      </c>
      <c r="AD65" s="260"/>
      <c r="AE65" s="261"/>
      <c r="AI65" s="57"/>
    </row>
    <row r="66" spans="29:35" ht="24.6" customHeight="1">
      <c r="AC66" s="115"/>
      <c r="AE66" s="118"/>
      <c r="AI66" s="57"/>
    </row>
    <row r="67" spans="29:35" ht="24.6" customHeight="1">
      <c r="AC67" s="113" t="s">
        <v>2464</v>
      </c>
      <c r="AD67" s="139" t="s">
        <v>5</v>
      </c>
      <c r="AE67" s="114" t="s">
        <v>2462</v>
      </c>
      <c r="AI67" s="57"/>
    </row>
    <row r="68" spans="29:35" ht="24.6" customHeight="1">
      <c r="AC68" s="123" t="s">
        <v>445</v>
      </c>
      <c r="AD68" s="36">
        <f>VLOOKUP($AC68, Calculation!$T$4:$AA$40, 8, 0)</f>
        <v>2</v>
      </c>
      <c r="AE68" s="82">
        <v>5</v>
      </c>
      <c r="AI68" s="57"/>
    </row>
    <row r="69" spans="29:35" ht="24.6" customHeight="1">
      <c r="AC69" s="123" t="s">
        <v>468</v>
      </c>
      <c r="AD69" s="36">
        <f>VLOOKUP($AC69, Calculation!$T$4:$AA$40, 8, 0)</f>
        <v>0</v>
      </c>
      <c r="AE69" s="82">
        <v>5</v>
      </c>
      <c r="AI69" s="57"/>
    </row>
    <row r="70" spans="29:35" ht="24.6" customHeight="1">
      <c r="AC70" s="123" t="s">
        <v>530</v>
      </c>
      <c r="AD70" s="36">
        <f>VLOOKUP($AC70, Calculation!$T$4:$AA$40, 8, 0)</f>
        <v>0</v>
      </c>
      <c r="AE70" s="82">
        <v>5</v>
      </c>
      <c r="AI70" s="57"/>
    </row>
    <row r="71" spans="29:35" ht="24.6" customHeight="1">
      <c r="AC71" s="123" t="s">
        <v>565</v>
      </c>
      <c r="AD71" s="36">
        <f>VLOOKUP($AC71, Calculation!$T$4:$AA$40, 8, 0)</f>
        <v>0</v>
      </c>
      <c r="AE71" s="82">
        <v>5</v>
      </c>
      <c r="AI71" s="57"/>
    </row>
    <row r="72" spans="29:35" ht="24.6" customHeight="1">
      <c r="AC72" s="115"/>
      <c r="AE72" s="118"/>
      <c r="AI72" s="57"/>
    </row>
    <row r="73" spans="29:35" ht="24.6" customHeight="1">
      <c r="AC73" s="113" t="s">
        <v>2464</v>
      </c>
      <c r="AD73" s="139" t="s">
        <v>5</v>
      </c>
      <c r="AE73" s="114" t="s">
        <v>2462</v>
      </c>
      <c r="AI73" s="57"/>
    </row>
    <row r="74" spans="29:35" ht="24.6" customHeight="1">
      <c r="AC74" s="123" t="s">
        <v>17</v>
      </c>
      <c r="AD74" s="36">
        <f>VLOOKUP($AC74, Calculation!$T$4:$AA$40, 8, 0)</f>
        <v>2</v>
      </c>
      <c r="AE74" s="82">
        <v>5</v>
      </c>
      <c r="AI74" s="57"/>
    </row>
    <row r="75" spans="29:35" ht="24.6" customHeight="1">
      <c r="AC75" s="123" t="s">
        <v>62</v>
      </c>
      <c r="AD75" s="36">
        <f>VLOOKUP($AC75, Calculation!$T$4:$AA$40, 8, 0)</f>
        <v>1</v>
      </c>
      <c r="AE75" s="82">
        <v>5</v>
      </c>
      <c r="AI75" s="57"/>
    </row>
    <row r="76" spans="29:35" ht="24.6" customHeight="1">
      <c r="AC76" s="123" t="s">
        <v>96</v>
      </c>
      <c r="AD76" s="36">
        <f>VLOOKUP($AC76, Calculation!$T$4:$AA$40, 8, 0)</f>
        <v>0</v>
      </c>
      <c r="AE76" s="82">
        <v>5</v>
      </c>
      <c r="AI76" s="57"/>
    </row>
    <row r="77" spans="29:35" ht="24.6" customHeight="1">
      <c r="AC77" s="123" t="s">
        <v>154</v>
      </c>
      <c r="AD77" s="36">
        <f>VLOOKUP($AC77, Calculation!$T$4:$AA$40, 8, 0)</f>
        <v>0</v>
      </c>
      <c r="AE77" s="82">
        <v>5</v>
      </c>
      <c r="AI77" s="57"/>
    </row>
    <row r="78" spans="29:35" ht="24.6" customHeight="1">
      <c r="AC78" s="115"/>
      <c r="AE78" s="82"/>
      <c r="AI78" s="57"/>
    </row>
    <row r="79" spans="29:35" ht="24.6" customHeight="1">
      <c r="AC79" s="113" t="s">
        <v>2464</v>
      </c>
      <c r="AD79" s="139" t="s">
        <v>5</v>
      </c>
      <c r="AE79" s="114" t="s">
        <v>2462</v>
      </c>
      <c r="AI79" s="57"/>
    </row>
    <row r="80" spans="29:35" ht="24.6" customHeight="1">
      <c r="AC80" s="123" t="s">
        <v>1003</v>
      </c>
      <c r="AD80" s="36">
        <f>VLOOKUP($AC80, Calculation!$T$4:$AA$40, 8, 0)</f>
        <v>0</v>
      </c>
      <c r="AE80" s="82">
        <v>5</v>
      </c>
      <c r="AI80" s="57"/>
    </row>
    <row r="81" spans="29:35" ht="24.6" customHeight="1">
      <c r="AC81" s="123" t="s">
        <v>1027</v>
      </c>
      <c r="AD81" s="36">
        <f>VLOOKUP($AC81, Calculation!$T$4:$AA$40, 8, 0)</f>
        <v>0</v>
      </c>
      <c r="AE81" s="82">
        <v>5</v>
      </c>
      <c r="AI81" s="57"/>
    </row>
    <row r="82" spans="29:35" ht="24.6" customHeight="1">
      <c r="AC82" s="123" t="s">
        <v>1089</v>
      </c>
      <c r="AD82" s="36">
        <f>VLOOKUP($AC82, Calculation!$T$4:$AA$40, 8, 0)</f>
        <v>0</v>
      </c>
      <c r="AE82" s="82">
        <v>5</v>
      </c>
      <c r="AI82" s="57"/>
    </row>
    <row r="83" spans="29:35" ht="24.6" customHeight="1">
      <c r="AC83" s="115"/>
      <c r="AE83" s="82"/>
      <c r="AI83" s="57"/>
    </row>
    <row r="84" spans="29:35" ht="24.6" customHeight="1">
      <c r="AC84" s="113" t="s">
        <v>2464</v>
      </c>
      <c r="AD84" s="139" t="s">
        <v>5</v>
      </c>
      <c r="AE84" s="114" t="s">
        <v>2462</v>
      </c>
      <c r="AI84" s="57"/>
    </row>
    <row r="85" spans="29:35" ht="24.6" customHeight="1">
      <c r="AC85" s="123" t="s">
        <v>592</v>
      </c>
      <c r="AD85" s="36">
        <f>VLOOKUP($AC85, Calculation!$T$4:$AA$40, 8, 0)</f>
        <v>1</v>
      </c>
      <c r="AE85" s="82">
        <v>5</v>
      </c>
      <c r="AI85" s="57"/>
    </row>
    <row r="86" spans="29:35" ht="24.6" customHeight="1">
      <c r="AC86" s="123" t="s">
        <v>619</v>
      </c>
      <c r="AD86" s="36">
        <f>VLOOKUP($AC86, Calculation!$T$4:$AA$40, 8, 0)</f>
        <v>1</v>
      </c>
      <c r="AE86" s="82">
        <v>5</v>
      </c>
      <c r="AI86" s="57"/>
    </row>
    <row r="87" spans="29:35" ht="24.6" customHeight="1">
      <c r="AC87" s="125"/>
      <c r="AD87" s="140"/>
      <c r="AE87" s="126"/>
      <c r="AI87" s="57"/>
    </row>
    <row r="88" spans="29:35" ht="24.6" customHeight="1">
      <c r="AC88" s="113" t="s">
        <v>2464</v>
      </c>
      <c r="AD88" s="139" t="s">
        <v>5</v>
      </c>
      <c r="AE88" s="114" t="s">
        <v>2462</v>
      </c>
      <c r="AI88" s="57"/>
    </row>
    <row r="89" spans="29:35" ht="24.6" customHeight="1">
      <c r="AC89" s="123" t="s">
        <v>1145</v>
      </c>
      <c r="AD89" s="36">
        <f>VLOOKUP($AC89, Calculation!$T$4:$AA$40, 8, 0)</f>
        <v>2</v>
      </c>
      <c r="AE89" s="82">
        <v>5</v>
      </c>
      <c r="AI89" s="57"/>
    </row>
    <row r="90" spans="29:35" ht="24.6" customHeight="1">
      <c r="AC90" s="123" t="s">
        <v>1178</v>
      </c>
      <c r="AD90" s="36">
        <f>VLOOKUP($AC90, Calculation!$T$4:$AA$40, 8, 0)</f>
        <v>0</v>
      </c>
      <c r="AE90" s="82">
        <v>5</v>
      </c>
      <c r="AI90" s="57"/>
    </row>
    <row r="91" spans="29:35" ht="24.6" customHeight="1">
      <c r="AC91" s="123" t="s">
        <v>1216</v>
      </c>
      <c r="AD91" s="36">
        <f>VLOOKUP($AC91, Calculation!$T$4:$AA$40, 8, 0)</f>
        <v>0</v>
      </c>
      <c r="AE91" s="82">
        <v>5</v>
      </c>
      <c r="AI91" s="57"/>
    </row>
    <row r="92" spans="29:35" ht="24.6" customHeight="1">
      <c r="AC92" s="115"/>
      <c r="AE92" s="82"/>
      <c r="AI92" s="57"/>
    </row>
    <row r="93" spans="29:35" ht="24.6" customHeight="1">
      <c r="AC93" s="113" t="s">
        <v>2464</v>
      </c>
      <c r="AD93" s="139" t="s">
        <v>5</v>
      </c>
      <c r="AE93" s="114" t="s">
        <v>2462</v>
      </c>
      <c r="AI93" s="57"/>
    </row>
    <row r="94" spans="29:35" ht="24.6" customHeight="1">
      <c r="AC94" s="123" t="s">
        <v>282</v>
      </c>
      <c r="AD94" s="36">
        <f>VLOOKUP($AC94, Calculation!$T$4:$AA$40, 8, 0)</f>
        <v>0</v>
      </c>
      <c r="AE94" s="82">
        <v>5</v>
      </c>
      <c r="AI94" s="57"/>
    </row>
    <row r="95" spans="29:35" ht="24.6" customHeight="1">
      <c r="AC95" s="124" t="s">
        <v>323</v>
      </c>
      <c r="AD95" s="36">
        <f>VLOOKUP($AC95, Calculation!$T$4:$AA$40, 8, 0)</f>
        <v>1</v>
      </c>
      <c r="AE95" s="82">
        <v>5</v>
      </c>
      <c r="AI95" s="57"/>
    </row>
    <row r="96" spans="29:35" ht="24.6" customHeight="1">
      <c r="AC96" s="124" t="s">
        <v>378</v>
      </c>
      <c r="AD96" s="36">
        <f>VLOOKUP($AC96, Calculation!$T$4:$AA$40, 8, 0)</f>
        <v>1</v>
      </c>
      <c r="AE96" s="82">
        <v>5</v>
      </c>
      <c r="AI96" s="57"/>
    </row>
    <row r="97" spans="29:35" ht="24.6" customHeight="1">
      <c r="AC97" s="124" t="s">
        <v>411</v>
      </c>
      <c r="AD97" s="36">
        <f>VLOOKUP($AC97, Calculation!$T$4:$AA$40, 8, 0)</f>
        <v>1</v>
      </c>
      <c r="AE97" s="82">
        <v>5</v>
      </c>
      <c r="AI97" s="57"/>
    </row>
    <row r="98" spans="29:35" ht="24.6" customHeight="1">
      <c r="AC98" s="115"/>
      <c r="AE98" s="82"/>
      <c r="AI98" s="57"/>
    </row>
    <row r="99" spans="29:35" ht="24.6" customHeight="1">
      <c r="AC99" s="113" t="s">
        <v>2464</v>
      </c>
      <c r="AD99" s="139" t="s">
        <v>5</v>
      </c>
      <c r="AE99" s="114" t="s">
        <v>2462</v>
      </c>
      <c r="AI99" s="57"/>
    </row>
    <row r="100" spans="29:35" ht="24.6" customHeight="1">
      <c r="AC100" s="123" t="s">
        <v>197</v>
      </c>
      <c r="AD100" s="36">
        <f>VLOOKUP($AC100, Calculation!$T$4:$AA$40, 8, 0)</f>
        <v>2</v>
      </c>
      <c r="AE100" s="82">
        <v>5</v>
      </c>
      <c r="AI100" s="57"/>
    </row>
    <row r="101" spans="29:35" ht="24.6" customHeight="1">
      <c r="AC101" s="123" t="s">
        <v>214</v>
      </c>
      <c r="AD101" s="36">
        <f>VLOOKUP($AC101, Calculation!$T$4:$AA$40, 8, 0)</f>
        <v>2</v>
      </c>
      <c r="AE101" s="82">
        <v>5</v>
      </c>
      <c r="AI101" s="57"/>
    </row>
    <row r="102" spans="29:35" ht="24.6" customHeight="1">
      <c r="AC102" s="123" t="s">
        <v>259</v>
      </c>
      <c r="AD102" s="36">
        <f>VLOOKUP($AC102, Calculation!$T$4:$AA$40, 8, 0)</f>
        <v>1</v>
      </c>
      <c r="AE102" s="82">
        <v>5</v>
      </c>
      <c r="AI102" s="57"/>
    </row>
    <row r="103" spans="29:35" ht="24.6" customHeight="1">
      <c r="AC103" s="115"/>
      <c r="AE103" s="82"/>
      <c r="AI103" s="57"/>
    </row>
    <row r="104" spans="29:35" ht="24.6" customHeight="1">
      <c r="AC104" s="113" t="s">
        <v>2464</v>
      </c>
      <c r="AD104" s="139" t="s">
        <v>5</v>
      </c>
      <c r="AE104" s="114" t="s">
        <v>2462</v>
      </c>
      <c r="AI104" s="57"/>
    </row>
    <row r="105" spans="29:35" ht="24.6" customHeight="1">
      <c r="AC105" s="123" t="s">
        <v>1605</v>
      </c>
      <c r="AD105" s="36">
        <f>VLOOKUP($AC105, Calculation!$T$4:$AA$45, 8, 0)</f>
        <v>0</v>
      </c>
      <c r="AE105" s="82">
        <v>5</v>
      </c>
      <c r="AI105" s="57"/>
    </row>
    <row r="106" spans="29:35" ht="24.6" customHeight="1">
      <c r="AC106" s="123" t="s">
        <v>1645</v>
      </c>
      <c r="AD106" s="36">
        <f>VLOOKUP($AC106, Calculation!$T$4:$AA$45, 8, 0)</f>
        <v>0</v>
      </c>
      <c r="AE106" s="82">
        <v>5</v>
      </c>
      <c r="AI106" s="57"/>
    </row>
    <row r="107" spans="29:35" ht="24.6" customHeight="1">
      <c r="AC107" s="123" t="s">
        <v>1680</v>
      </c>
      <c r="AD107" s="36">
        <f>VLOOKUP($AC107, Calculation!$T$4:$AA$45, 8, 0)</f>
        <v>0</v>
      </c>
      <c r="AE107" s="82">
        <v>5</v>
      </c>
      <c r="AI107" s="57"/>
    </row>
    <row r="108" spans="29:35" ht="24.6" customHeight="1">
      <c r="AC108" s="115"/>
      <c r="AE108" s="82"/>
      <c r="AI108" s="57"/>
    </row>
    <row r="109" spans="29:35" ht="24.6" customHeight="1">
      <c r="AC109" s="113" t="s">
        <v>2464</v>
      </c>
      <c r="AD109" s="139" t="s">
        <v>5</v>
      </c>
      <c r="AE109" s="114" t="s">
        <v>2462</v>
      </c>
      <c r="AI109" s="57"/>
    </row>
    <row r="110" spans="29:35" ht="24.6" customHeight="1">
      <c r="AC110" s="123" t="s">
        <v>1433</v>
      </c>
      <c r="AD110" s="36">
        <f>VLOOKUP($AC110, Calculation!$T$4:$AA$40, 8, 0)</f>
        <v>0</v>
      </c>
      <c r="AE110" s="82">
        <v>5</v>
      </c>
      <c r="AI110" s="57"/>
    </row>
    <row r="111" spans="29:35" ht="24.6" customHeight="1">
      <c r="AC111" s="123" t="s">
        <v>1483</v>
      </c>
      <c r="AD111" s="36">
        <f>VLOOKUP($AC111, Calculation!$T$4:$AA$40, 8, 0)</f>
        <v>0</v>
      </c>
      <c r="AE111" s="82">
        <v>5</v>
      </c>
      <c r="AI111" s="57"/>
    </row>
    <row r="112" spans="29:35" ht="24.6" customHeight="1">
      <c r="AC112" s="115"/>
      <c r="AE112" s="82"/>
      <c r="AI112" s="57"/>
    </row>
    <row r="113" spans="29:35" ht="24.6" customHeight="1">
      <c r="AC113" s="113" t="s">
        <v>2464</v>
      </c>
      <c r="AD113" s="139" t="s">
        <v>5</v>
      </c>
      <c r="AE113" s="114" t="s">
        <v>2462</v>
      </c>
      <c r="AI113" s="57"/>
    </row>
    <row r="114" spans="29:35" ht="24.6" customHeight="1">
      <c r="AC114" s="123" t="s">
        <v>1252</v>
      </c>
      <c r="AD114" s="36">
        <f>VLOOKUP($AC114, Calculation!$T$4:$AA$40, 8, 0)</f>
        <v>2</v>
      </c>
      <c r="AE114" s="82">
        <v>5</v>
      </c>
      <c r="AI114" s="57"/>
    </row>
    <row r="115" spans="29:35" ht="24.6" customHeight="1">
      <c r="AC115" s="123" t="s">
        <v>1272</v>
      </c>
      <c r="AD115" s="36">
        <f>VLOOKUP($AC115, Calculation!$T$4:$AA$40, 8, 0)</f>
        <v>0</v>
      </c>
      <c r="AE115" s="82">
        <v>5</v>
      </c>
      <c r="AI115" s="57"/>
    </row>
    <row r="116" spans="29:35" ht="24.6" customHeight="1">
      <c r="AC116" s="123" t="s">
        <v>1321</v>
      </c>
      <c r="AD116" s="36">
        <f>VLOOKUP($AC116, Calculation!$T$4:$AA$40, 8, 0)</f>
        <v>0</v>
      </c>
      <c r="AE116" s="82">
        <v>5</v>
      </c>
      <c r="AI116" s="57"/>
    </row>
    <row r="117" spans="29:35" ht="24.6" customHeight="1">
      <c r="AC117" s="123" t="s">
        <v>1397</v>
      </c>
      <c r="AD117" s="36">
        <f>VLOOKUP($AC117, Calculation!$T$4:$AA$40, 8, 0)</f>
        <v>1</v>
      </c>
      <c r="AE117" s="82">
        <v>5</v>
      </c>
      <c r="AI117" s="57"/>
    </row>
    <row r="118" spans="29:35" ht="24.6" customHeight="1">
      <c r="AC118" s="115"/>
      <c r="AE118" s="82"/>
      <c r="AI118" s="57"/>
    </row>
    <row r="119" spans="29:35" ht="24.6" customHeight="1">
      <c r="AC119" s="113" t="s">
        <v>2464</v>
      </c>
      <c r="AD119" s="139" t="s">
        <v>5</v>
      </c>
      <c r="AE119" s="114" t="s">
        <v>2462</v>
      </c>
      <c r="AI119" s="57"/>
    </row>
    <row r="120" spans="29:35" ht="24.6" customHeight="1">
      <c r="AC120" s="123" t="s">
        <v>868</v>
      </c>
      <c r="AD120" s="36">
        <f>VLOOKUP($AC120, Calculation!$T$4:$AA$40, 8, 0)</f>
        <v>1</v>
      </c>
      <c r="AE120" s="82">
        <v>5</v>
      </c>
      <c r="AI120" s="57"/>
    </row>
    <row r="121" spans="29:35" ht="24.6" customHeight="1">
      <c r="AC121" s="123" t="s">
        <v>919</v>
      </c>
      <c r="AD121" s="36">
        <f>VLOOKUP($AC121, Calculation!$T$4:$AA$40, 8, 0)</f>
        <v>1</v>
      </c>
      <c r="AE121" s="82">
        <v>5</v>
      </c>
      <c r="AI121" s="57"/>
    </row>
    <row r="122" spans="29:35" ht="24.6" customHeight="1">
      <c r="AC122" s="123" t="s">
        <v>961</v>
      </c>
      <c r="AD122" s="36">
        <f>VLOOKUP($AC122, Calculation!$T$4:$AA$40, 8, 0)</f>
        <v>1</v>
      </c>
      <c r="AE122" s="82">
        <v>5</v>
      </c>
      <c r="AI122" s="57"/>
    </row>
    <row r="123" spans="29:35" ht="24.6" customHeight="1">
      <c r="AC123" s="115"/>
      <c r="AE123" s="82"/>
      <c r="AI123" s="57"/>
    </row>
    <row r="124" spans="29:35" ht="24.6" customHeight="1">
      <c r="AC124" s="113" t="s">
        <v>2464</v>
      </c>
      <c r="AD124" s="139" t="s">
        <v>5</v>
      </c>
      <c r="AE124" s="114" t="s">
        <v>2462</v>
      </c>
      <c r="AI124" s="57"/>
    </row>
    <row r="125" spans="29:35" ht="24.6" customHeight="1">
      <c r="AC125" s="123" t="s">
        <v>676</v>
      </c>
      <c r="AD125" s="36">
        <f>VLOOKUP($AC125, Calculation!$T$4:$AA$40, 8, 0)</f>
        <v>0</v>
      </c>
      <c r="AE125" s="82">
        <v>5</v>
      </c>
      <c r="AI125" s="57"/>
    </row>
    <row r="126" spans="29:35" ht="24.6" customHeight="1">
      <c r="AC126" s="123" t="s">
        <v>717</v>
      </c>
      <c r="AD126" s="36">
        <f>VLOOKUP($AC126, Calculation!$T$4:$AA$40, 8, 0)</f>
        <v>0</v>
      </c>
      <c r="AE126" s="82">
        <v>5</v>
      </c>
      <c r="AI126" s="57"/>
    </row>
    <row r="127" spans="29:35" ht="24.6" customHeight="1">
      <c r="AC127" s="115"/>
      <c r="AE127" s="82"/>
      <c r="AI127" s="57"/>
    </row>
    <row r="128" spans="29:35" ht="24.6" customHeight="1">
      <c r="AC128" s="113" t="s">
        <v>2464</v>
      </c>
      <c r="AD128" s="139" t="s">
        <v>5</v>
      </c>
      <c r="AE128" s="114" t="s">
        <v>2462</v>
      </c>
      <c r="AI128" s="57"/>
    </row>
    <row r="129" spans="29:35" ht="24.6" customHeight="1">
      <c r="AC129" s="123" t="s">
        <v>1530</v>
      </c>
      <c r="AD129" s="36">
        <f>VLOOKUP($AC129, Calculation!$T$4:$AA$45, 8, 0)</f>
        <v>0</v>
      </c>
      <c r="AE129" s="82">
        <v>5</v>
      </c>
      <c r="AI129" s="57"/>
    </row>
    <row r="130" spans="29:35" ht="24.6" customHeight="1">
      <c r="AC130" s="123" t="s">
        <v>1558</v>
      </c>
      <c r="AD130" s="36">
        <f>VLOOKUP($AC130, Calculation!$T$4:$AA$45, 8, 0)</f>
        <v>0</v>
      </c>
      <c r="AE130" s="82">
        <v>5</v>
      </c>
      <c r="AI130" s="57"/>
    </row>
    <row r="131" spans="29:35" ht="24.6" customHeight="1">
      <c r="AC131" s="115"/>
      <c r="AE131" s="82"/>
      <c r="AI131" s="57"/>
    </row>
    <row r="132" spans="29:35" ht="24.6" customHeight="1">
      <c r="AC132" s="113" t="s">
        <v>2464</v>
      </c>
      <c r="AD132" s="139" t="s">
        <v>5</v>
      </c>
      <c r="AE132" s="114" t="s">
        <v>2462</v>
      </c>
      <c r="AI132" s="57"/>
    </row>
    <row r="133" spans="29:35" ht="24.6" customHeight="1">
      <c r="AC133" s="123" t="s">
        <v>746</v>
      </c>
      <c r="AD133" s="36">
        <f>VLOOKUP($AC133, Calculation!$T$4:$AA$40, 8, 0)</f>
        <v>1</v>
      </c>
      <c r="AE133" s="82">
        <v>5</v>
      </c>
      <c r="AI133" s="57"/>
    </row>
    <row r="134" spans="29:35" ht="24.6" customHeight="1">
      <c r="AC134" s="123" t="s">
        <v>794</v>
      </c>
      <c r="AD134" s="36">
        <f>VLOOKUP($AC134, Calculation!$T$4:$AA$40, 8, 0)</f>
        <v>1</v>
      </c>
      <c r="AE134" s="82">
        <v>5</v>
      </c>
      <c r="AI134" s="57"/>
    </row>
    <row r="135" spans="29:35" ht="24.6" customHeight="1" thickBot="1">
      <c r="AC135" s="83" t="s">
        <v>843</v>
      </c>
      <c r="AD135" s="117">
        <f>VLOOKUP($AC135, Calculation!$T$4:$AA$40, 8, 0)</f>
        <v>2</v>
      </c>
      <c r="AE135" s="84">
        <v>5</v>
      </c>
      <c r="AI135" s="57"/>
    </row>
    <row r="136" spans="29:35" ht="24.6" customHeight="1">
      <c r="AI136" s="57"/>
    </row>
    <row r="137" spans="29:35" ht="24.6" customHeight="1">
      <c r="AI137" s="57"/>
    </row>
    <row r="138" spans="29:35" ht="24.6" customHeight="1">
      <c r="AI138" s="57"/>
    </row>
    <row r="139" spans="29:35" ht="24.6" customHeight="1">
      <c r="AI139" s="57"/>
    </row>
    <row r="140" spans="29:35" ht="24.6" customHeight="1">
      <c r="AI140" s="57"/>
    </row>
    <row r="141" spans="29:35" ht="24.6" customHeight="1">
      <c r="AI141" s="57"/>
    </row>
    <row r="142" spans="29:35" ht="24.6" customHeight="1">
      <c r="AI142" s="57"/>
    </row>
    <row r="143" spans="29:35" ht="24.6" customHeight="1">
      <c r="AI143" s="57"/>
    </row>
    <row r="144" spans="29:35" ht="24.6" customHeight="1">
      <c r="AI144" s="57"/>
    </row>
    <row r="145" spans="35:35" ht="24.6" customHeight="1">
      <c r="AI145" s="57"/>
    </row>
    <row r="146" spans="35:35" ht="24.6" customHeight="1">
      <c r="AI146" s="57"/>
    </row>
    <row r="147" spans="35:35" ht="24.6" customHeight="1">
      <c r="AI147" s="57"/>
    </row>
    <row r="148" spans="35:35" ht="24.6" customHeight="1">
      <c r="AI148" s="57"/>
    </row>
    <row r="149" spans="35:35" ht="24.6" customHeight="1">
      <c r="AI149" s="57"/>
    </row>
    <row r="150" spans="35:35" ht="24.6" customHeight="1">
      <c r="AI150" s="57"/>
    </row>
    <row r="151" spans="35:35" ht="24.6" customHeight="1">
      <c r="AI151" s="57"/>
    </row>
    <row r="152" spans="35:35" ht="24.6" customHeight="1">
      <c r="AI152" s="57"/>
    </row>
    <row r="153" spans="35:35" ht="24.6" customHeight="1">
      <c r="AI153" s="57"/>
    </row>
    <row r="154" spans="35:35" ht="24.6" customHeight="1">
      <c r="AI154" s="57"/>
    </row>
    <row r="155" spans="35:35" ht="24.6" customHeight="1">
      <c r="AI155" s="57"/>
    </row>
    <row r="156" spans="35:35" ht="24.6" customHeight="1">
      <c r="AI156" s="57"/>
    </row>
    <row r="157" spans="35:35" ht="24.6" customHeight="1">
      <c r="AI157" s="57"/>
    </row>
    <row r="158" spans="35:35" ht="24.6" customHeight="1">
      <c r="AI158" s="57"/>
    </row>
    <row r="159" spans="35:35" ht="24.6" customHeight="1">
      <c r="AI159" s="57"/>
    </row>
    <row r="160" spans="35:35" ht="24.6" customHeight="1">
      <c r="AI160" s="57"/>
    </row>
    <row r="161" spans="35:35" ht="24.6" customHeight="1">
      <c r="AI161" s="57"/>
    </row>
    <row r="162" spans="35:35" ht="24.6" customHeight="1">
      <c r="AI162" s="57"/>
    </row>
    <row r="163" spans="35:35" ht="24.6" customHeight="1">
      <c r="AI163" s="57"/>
    </row>
    <row r="164" spans="35:35" ht="24.6" customHeight="1">
      <c r="AI164" s="57"/>
    </row>
    <row r="165" spans="35:35" ht="24.6" customHeight="1">
      <c r="AI165" s="57"/>
    </row>
    <row r="166" spans="35:35" ht="24.6" customHeight="1">
      <c r="AI166" s="57"/>
    </row>
    <row r="167" spans="35:35" ht="24.6" customHeight="1">
      <c r="AI167" s="57"/>
    </row>
    <row r="168" spans="35:35" ht="24.6" customHeight="1">
      <c r="AI168" s="57"/>
    </row>
    <row r="169" spans="35:35" ht="24.6" customHeight="1">
      <c r="AI169" s="57"/>
    </row>
    <row r="170" spans="35:35" ht="24.6" customHeight="1">
      <c r="AI170" s="57"/>
    </row>
    <row r="171" spans="35:35" ht="24.6" customHeight="1">
      <c r="AI171" s="57"/>
    </row>
    <row r="172" spans="35:35" ht="24.6" customHeight="1">
      <c r="AI172" s="57"/>
    </row>
    <row r="173" spans="35:35" ht="24.6" customHeight="1">
      <c r="AI173" s="57"/>
    </row>
    <row r="174" spans="35:35" ht="24.6" customHeight="1">
      <c r="AI174" s="57"/>
    </row>
    <row r="175" spans="35:35" ht="24.6" customHeight="1">
      <c r="AI175" s="57"/>
    </row>
    <row r="176" spans="35:35" ht="24.6" customHeight="1">
      <c r="AI176" s="57"/>
    </row>
    <row r="177" spans="35:35" ht="24.6" customHeight="1">
      <c r="AI177" s="57"/>
    </row>
    <row r="178" spans="35:35" ht="24.6" customHeight="1">
      <c r="AI178" s="57"/>
    </row>
    <row r="179" spans="35:35" ht="24.6" customHeight="1">
      <c r="AI179" s="57"/>
    </row>
    <row r="180" spans="35:35" ht="24.6" customHeight="1">
      <c r="AI180" s="57"/>
    </row>
    <row r="181" spans="35:35" ht="24.6" customHeight="1">
      <c r="AI181" s="57"/>
    </row>
    <row r="182" spans="35:35" ht="24.6" customHeight="1">
      <c r="AI182" s="57"/>
    </row>
    <row r="183" spans="35:35" ht="24.6" customHeight="1">
      <c r="AI183" s="57"/>
    </row>
    <row r="184" spans="35:35" ht="24.6" customHeight="1">
      <c r="AI184" s="57"/>
    </row>
    <row r="185" spans="35:35" ht="24.6" customHeight="1">
      <c r="AI185" s="57"/>
    </row>
    <row r="186" spans="35:35" ht="24.6" customHeight="1">
      <c r="AI186" s="57"/>
    </row>
    <row r="187" spans="35:35" ht="24.6" customHeight="1">
      <c r="AI187" s="57"/>
    </row>
    <row r="188" spans="35:35" ht="24.6" customHeight="1">
      <c r="AI188" s="57"/>
    </row>
    <row r="189" spans="35:35" ht="24.6" customHeight="1">
      <c r="AI189" s="57"/>
    </row>
    <row r="190" spans="35:35" ht="24.6" customHeight="1">
      <c r="AI190" s="57"/>
    </row>
    <row r="191" spans="35:35" ht="24.6" customHeight="1">
      <c r="AI191" s="57"/>
    </row>
    <row r="192" spans="35:35" ht="24.6" customHeight="1">
      <c r="AI192" s="57"/>
    </row>
    <row r="193" spans="35:35" ht="24.6" customHeight="1">
      <c r="AI193" s="57"/>
    </row>
    <row r="194" spans="35:35" ht="24.6" customHeight="1">
      <c r="AI194" s="57"/>
    </row>
    <row r="195" spans="35:35" ht="24.6" customHeight="1">
      <c r="AI195" s="57"/>
    </row>
    <row r="196" spans="35:35" ht="24.6" customHeight="1">
      <c r="AI196" s="57"/>
    </row>
    <row r="197" spans="35:35" ht="24.6" customHeight="1">
      <c r="AI197" s="57"/>
    </row>
    <row r="198" spans="35:35" ht="24.6" customHeight="1">
      <c r="AI198" s="57"/>
    </row>
    <row r="199" spans="35:35" ht="24.6" customHeight="1">
      <c r="AI199" s="57"/>
    </row>
    <row r="200" spans="35:35" ht="24.6" customHeight="1">
      <c r="AI200" s="57"/>
    </row>
    <row r="201" spans="35:35" ht="24.6" customHeight="1">
      <c r="AI201" s="57"/>
    </row>
    <row r="202" spans="35:35" ht="24.6" customHeight="1">
      <c r="AI202" s="57"/>
    </row>
    <row r="203" spans="35:35" ht="24.6" customHeight="1">
      <c r="AI203" s="57"/>
    </row>
    <row r="204" spans="35:35" ht="24.6" customHeight="1">
      <c r="AI204" s="57"/>
    </row>
    <row r="205" spans="35:35" ht="24.6" customHeight="1">
      <c r="AI205" s="57"/>
    </row>
    <row r="206" spans="35:35" ht="24.6" customHeight="1">
      <c r="AI206" s="57"/>
    </row>
    <row r="207" spans="35:35" ht="24.6" customHeight="1">
      <c r="AI207" s="57"/>
    </row>
    <row r="208" spans="35:35" ht="24.6" customHeight="1">
      <c r="AI208" s="57"/>
    </row>
    <row r="209" spans="35:35" ht="24.6" customHeight="1">
      <c r="AI209" s="57"/>
    </row>
    <row r="210" spans="35:35" ht="24.6" customHeight="1">
      <c r="AI210" s="57"/>
    </row>
    <row r="211" spans="35:35" ht="24.6" customHeight="1">
      <c r="AI211" s="57"/>
    </row>
    <row r="212" spans="35:35" ht="24.6" customHeight="1">
      <c r="AI212" s="57"/>
    </row>
    <row r="213" spans="35:35" ht="24.6" customHeight="1">
      <c r="AI213" s="57"/>
    </row>
    <row r="214" spans="35:35" ht="24.6" customHeight="1">
      <c r="AI214" s="57"/>
    </row>
    <row r="215" spans="35:35" ht="24.6" customHeight="1">
      <c r="AI215" s="57"/>
    </row>
    <row r="216" spans="35:35" ht="24.6" customHeight="1">
      <c r="AI216" s="57"/>
    </row>
    <row r="217" spans="35:35" ht="24.6" customHeight="1">
      <c r="AI217" s="57"/>
    </row>
    <row r="218" spans="35:35" ht="24.6" customHeight="1">
      <c r="AI218" s="57"/>
    </row>
    <row r="219" spans="35:35" ht="24.6" customHeight="1">
      <c r="AI219" s="57"/>
    </row>
    <row r="220" spans="35:35" ht="24.6" customHeight="1">
      <c r="AI220" s="57"/>
    </row>
    <row r="221" spans="35:35" ht="24.6" customHeight="1">
      <c r="AI221" s="57"/>
    </row>
    <row r="222" spans="35:35" ht="24.6" customHeight="1">
      <c r="AI222" s="57"/>
    </row>
    <row r="223" spans="35:35" ht="24.6" customHeight="1">
      <c r="AI223" s="57"/>
    </row>
    <row r="224" spans="35:35" ht="24.6" customHeight="1">
      <c r="AI224" s="57"/>
    </row>
    <row r="225" spans="35:35" ht="24.6" customHeight="1">
      <c r="AI225" s="57"/>
    </row>
    <row r="226" spans="35:35" ht="24.6" customHeight="1">
      <c r="AI226" s="57"/>
    </row>
    <row r="227" spans="35:35" ht="24.6" customHeight="1">
      <c r="AI227" s="57"/>
    </row>
    <row r="228" spans="35:35" ht="24.6" customHeight="1">
      <c r="AI228" s="57"/>
    </row>
    <row r="229" spans="35:35" ht="24.6" customHeight="1">
      <c r="AI229" s="57"/>
    </row>
    <row r="230" spans="35:35" ht="24.6" customHeight="1">
      <c r="AI230" s="57"/>
    </row>
    <row r="231" spans="35:35" ht="24.6" customHeight="1">
      <c r="AI231" s="57"/>
    </row>
    <row r="232" spans="35:35" ht="24.6" customHeight="1">
      <c r="AI232" s="57"/>
    </row>
    <row r="233" spans="35:35" ht="24.6" customHeight="1">
      <c r="AI233" s="57"/>
    </row>
    <row r="234" spans="35:35" ht="24.6" customHeight="1">
      <c r="AI234" s="57"/>
    </row>
    <row r="235" spans="35:35" ht="24.6" customHeight="1">
      <c r="AI235" s="57"/>
    </row>
    <row r="236" spans="35:35" ht="24.6" customHeight="1">
      <c r="AI236" s="57"/>
    </row>
    <row r="237" spans="35:35" ht="24.6" customHeight="1">
      <c r="AI237" s="57"/>
    </row>
    <row r="238" spans="35:35" ht="24.6" customHeight="1">
      <c r="AI238" s="57"/>
    </row>
    <row r="239" spans="35:35" ht="24.6" customHeight="1">
      <c r="AI239" s="57"/>
    </row>
    <row r="240" spans="35:35" ht="24.6" customHeight="1">
      <c r="AI240" s="57"/>
    </row>
    <row r="241" spans="35:35" ht="24.6" customHeight="1">
      <c r="AI241" s="57"/>
    </row>
    <row r="242" spans="35:35" ht="24.6" customHeight="1">
      <c r="AI242" s="57"/>
    </row>
    <row r="243" spans="35:35" ht="24.6" customHeight="1">
      <c r="AI243" s="57"/>
    </row>
    <row r="244" spans="35:35" ht="24.6" customHeight="1">
      <c r="AI244" s="57"/>
    </row>
    <row r="245" spans="35:35" ht="24.6" customHeight="1">
      <c r="AI245" s="57"/>
    </row>
    <row r="246" spans="35:35" ht="24.6" customHeight="1">
      <c r="AI246" s="57"/>
    </row>
    <row r="247" spans="35:35" ht="24.6" customHeight="1">
      <c r="AI247" s="57"/>
    </row>
    <row r="248" spans="35:35" ht="24.6" customHeight="1">
      <c r="AI248" s="57"/>
    </row>
    <row r="249" spans="35:35" ht="24.6" customHeight="1">
      <c r="AI249" s="57"/>
    </row>
    <row r="250" spans="35:35" ht="24.6" customHeight="1">
      <c r="AI250" s="57"/>
    </row>
  </sheetData>
  <mergeCells count="41">
    <mergeCell ref="AC65:AE65"/>
    <mergeCell ref="AC47:AE47"/>
    <mergeCell ref="B46:H46"/>
    <mergeCell ref="K46:Q46"/>
    <mergeCell ref="AD48:AE48"/>
    <mergeCell ref="B2:I2"/>
    <mergeCell ref="K2:R2"/>
    <mergeCell ref="T2:AA2"/>
    <mergeCell ref="AK2:AK3"/>
    <mergeCell ref="AL2:AL3"/>
    <mergeCell ref="AC2:AE2"/>
    <mergeCell ref="AK40:BN40"/>
    <mergeCell ref="AW2:AY2"/>
    <mergeCell ref="AZ2:BB2"/>
    <mergeCell ref="AR2:AR3"/>
    <mergeCell ref="AS2:AS3"/>
    <mergeCell ref="BH2:BH3"/>
    <mergeCell ref="AT2:AV2"/>
    <mergeCell ref="BD21:BD22"/>
    <mergeCell ref="BE21:BE22"/>
    <mergeCell ref="BF21:BF22"/>
    <mergeCell ref="BG21:BG22"/>
    <mergeCell ref="BH21:BH22"/>
    <mergeCell ref="AM2:AO2"/>
    <mergeCell ref="AP2:AP3"/>
    <mergeCell ref="A1:C1"/>
    <mergeCell ref="AJ1:AK1"/>
    <mergeCell ref="BI21:BI22"/>
    <mergeCell ref="AR37:AS37"/>
    <mergeCell ref="BD37:BE37"/>
    <mergeCell ref="BI2:BI3"/>
    <mergeCell ref="AR21:AR22"/>
    <mergeCell ref="AS21:AS22"/>
    <mergeCell ref="AT21:AV21"/>
    <mergeCell ref="AW21:AY21"/>
    <mergeCell ref="AZ21:BB21"/>
    <mergeCell ref="AR18:AS18"/>
    <mergeCell ref="BD2:BD3"/>
    <mergeCell ref="BE2:BE3"/>
    <mergeCell ref="BF2:BF3"/>
    <mergeCell ref="BG2:BG3"/>
  </mergeCells>
  <phoneticPr fontId="2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3039-101E-4DB2-9B9E-5829C61155C6}">
  <dimension ref="A1:C203"/>
  <sheetViews>
    <sheetView workbookViewId="0">
      <pane ySplit="1" topLeftCell="A8" activePane="bottomLeft" state="frozen"/>
      <selection pane="bottomLeft" activeCell="C21" sqref="C21"/>
    </sheetView>
  </sheetViews>
  <sheetFormatPr defaultRowHeight="14.4"/>
  <cols>
    <col min="2" max="3" width="23.33203125" customWidth="1"/>
  </cols>
  <sheetData>
    <row r="1" spans="1:3">
      <c r="A1" t="s">
        <v>2465</v>
      </c>
      <c r="B1" t="s">
        <v>2466</v>
      </c>
      <c r="C1" t="s">
        <v>2467</v>
      </c>
    </row>
    <row r="2" spans="1:3">
      <c r="A2" t="s">
        <v>28</v>
      </c>
      <c r="B2" t="str">
        <f>VLOOKUP(A2,'NDMO Specs. Overview'!B:F,5,0)</f>
        <v>Fully Compliant</v>
      </c>
      <c r="C2" s="78" t="str">
        <f t="shared" ref="C2:C65" si="0">IF(B2="Fully Compliant",A2)</f>
        <v>DG.1.1</v>
      </c>
    </row>
    <row r="3" spans="1:3">
      <c r="A3" t="s">
        <v>34</v>
      </c>
      <c r="B3" t="str">
        <f>VLOOKUP(A3,'NDMO Specs. Overview'!B:F,5,0)</f>
        <v>Fully Compliant</v>
      </c>
      <c r="C3" s="78" t="str">
        <f t="shared" si="0"/>
        <v>DG.1.2</v>
      </c>
    </row>
    <row r="4" spans="1:3">
      <c r="A4" t="s">
        <v>43</v>
      </c>
      <c r="B4" t="str">
        <f>VLOOKUP(A4,'NDMO Specs. Overview'!B:F,5,0)</f>
        <v>Fully Compliant</v>
      </c>
      <c r="C4" s="78" t="str">
        <f t="shared" si="0"/>
        <v>DG.1.3</v>
      </c>
    </row>
    <row r="5" spans="1:3">
      <c r="A5" t="s">
        <v>38</v>
      </c>
      <c r="B5" t="str">
        <f>VLOOKUP(A5,'NDMO Specs. Overview'!B:F,5,0)</f>
        <v>Fully Compliant</v>
      </c>
      <c r="C5" s="78" t="str">
        <f t="shared" si="0"/>
        <v>DG.1.4</v>
      </c>
    </row>
    <row r="6" spans="1:3">
      <c r="A6" t="s">
        <v>65</v>
      </c>
      <c r="B6" t="str">
        <f>VLOOKUP(A6,'NDMO Specs. Overview'!B:F,5,0)</f>
        <v>Fully Compliant</v>
      </c>
      <c r="C6" s="78" t="str">
        <f t="shared" si="0"/>
        <v>DG.2.1</v>
      </c>
    </row>
    <row r="7" spans="1:3">
      <c r="A7" t="s">
        <v>69</v>
      </c>
      <c r="B7" t="str">
        <f>VLOOKUP(A7,'NDMO Specs. Overview'!B:F,5,0)</f>
        <v>Partially Compliant</v>
      </c>
      <c r="C7" s="78" t="b">
        <f t="shared" si="0"/>
        <v>0</v>
      </c>
    </row>
    <row r="8" spans="1:3">
      <c r="A8" t="s">
        <v>166</v>
      </c>
      <c r="B8" t="str">
        <f>VLOOKUP(A8,'NDMO Specs. Overview'!B:F,5,0)</f>
        <v>Partially Compliant</v>
      </c>
      <c r="C8" s="78" t="b">
        <f t="shared" si="0"/>
        <v>0</v>
      </c>
    </row>
    <row r="9" spans="1:3">
      <c r="A9" t="s">
        <v>99</v>
      </c>
      <c r="B9" t="str">
        <f>VLOOKUP(A9,'NDMO Specs. Overview'!B:F,5,0)</f>
        <v>Fully Compliant</v>
      </c>
      <c r="C9" s="78" t="str">
        <f t="shared" si="0"/>
        <v>DG.4.1</v>
      </c>
    </row>
    <row r="10" spans="1:3">
      <c r="A10" t="s">
        <v>111</v>
      </c>
      <c r="B10" t="str">
        <f>VLOOKUP(A10,'NDMO Specs. Overview'!B:F,5,0)</f>
        <v>Fully Compliant</v>
      </c>
      <c r="C10" s="78" t="str">
        <f t="shared" si="0"/>
        <v>DG.4.2</v>
      </c>
    </row>
    <row r="11" spans="1:3">
      <c r="A11" t="s">
        <v>103</v>
      </c>
      <c r="B11" t="str">
        <f>VLOOKUP(A11,'NDMO Specs. Overview'!B:F,5,0)</f>
        <v>Partially Compliant</v>
      </c>
      <c r="C11" s="78" t="b">
        <f t="shared" si="0"/>
        <v>0</v>
      </c>
    </row>
    <row r="12" spans="1:3">
      <c r="A12" t="s">
        <v>107</v>
      </c>
      <c r="B12" t="str">
        <f>VLOOKUP(A12,'NDMO Specs. Overview'!B:F,5,0)</f>
        <v>Fully Compliant</v>
      </c>
      <c r="C12" s="78" t="str">
        <f t="shared" si="0"/>
        <v>DG.4.4</v>
      </c>
    </row>
    <row r="13" spans="1:3">
      <c r="A13" t="s">
        <v>139</v>
      </c>
      <c r="B13" t="str">
        <f>VLOOKUP(A13,'NDMO Specs. Overview'!B:F,5,0)</f>
        <v>Partially Compliant</v>
      </c>
      <c r="C13" s="78" t="b">
        <f t="shared" si="0"/>
        <v>0</v>
      </c>
    </row>
    <row r="14" spans="1:3">
      <c r="A14" t="s">
        <v>115</v>
      </c>
      <c r="B14" t="str">
        <f>VLOOKUP(A14,'NDMO Specs. Overview'!B:F,5,0)</f>
        <v>Fully Compliant</v>
      </c>
      <c r="C14" s="78" t="str">
        <f t="shared" si="0"/>
        <v>DG.4.6</v>
      </c>
    </row>
    <row r="15" spans="1:3">
      <c r="A15" t="s">
        <v>135</v>
      </c>
      <c r="B15" t="str">
        <f>VLOOKUP(A15,'NDMO Specs. Overview'!B:F,5,0)</f>
        <v>Fully Compliant</v>
      </c>
      <c r="C15" s="78" t="str">
        <f t="shared" si="0"/>
        <v>DG.4.7</v>
      </c>
    </row>
    <row r="16" spans="1:3">
      <c r="A16" t="s">
        <v>119</v>
      </c>
      <c r="B16" t="str">
        <f>VLOOKUP(A16,'NDMO Specs. Overview'!B:F,5,0)</f>
        <v>Fully Compliant</v>
      </c>
      <c r="C16" s="78" t="str">
        <f t="shared" si="0"/>
        <v>DG.4.8</v>
      </c>
    </row>
    <row r="17" spans="1:3">
      <c r="A17" t="s">
        <v>127</v>
      </c>
      <c r="B17" t="str">
        <f>VLOOKUP(A17,'NDMO Specs. Overview'!B:F,5,0)</f>
        <v>Partially Compliant</v>
      </c>
      <c r="C17" s="78" t="b">
        <f t="shared" si="0"/>
        <v>0</v>
      </c>
    </row>
    <row r="18" spans="1:3">
      <c r="A18" t="s">
        <v>131</v>
      </c>
      <c r="B18" t="str">
        <f>VLOOKUP(A18,'NDMO Specs. Overview'!B:F,5,0)</f>
        <v>Partially Compliant</v>
      </c>
      <c r="C18" s="78" t="b">
        <f t="shared" si="0"/>
        <v>0</v>
      </c>
    </row>
    <row r="19" spans="1:3">
      <c r="A19" t="s">
        <v>123</v>
      </c>
      <c r="B19" t="str">
        <f>VLOOKUP(A19,'NDMO Specs. Overview'!B:F,5,0)</f>
        <v>Fully Compliant</v>
      </c>
      <c r="C19" s="78" t="str">
        <f t="shared" si="0"/>
        <v>DG.4.11</v>
      </c>
    </row>
    <row r="20" spans="1:3">
      <c r="A20" t="s">
        <v>79</v>
      </c>
      <c r="B20" t="str">
        <f>VLOOKUP(A20,'NDMO Specs. Overview'!B:F,5,0)</f>
        <v>Partially Compliant</v>
      </c>
      <c r="C20" s="78" t="b">
        <f t="shared" si="0"/>
        <v>0</v>
      </c>
    </row>
    <row r="21" spans="1:3">
      <c r="A21" t="s">
        <v>87</v>
      </c>
      <c r="B21" t="str">
        <f>VLOOKUP(A21,'NDMO Specs. Overview'!B:F,5,0)</f>
        <v>Fully Compliant</v>
      </c>
      <c r="C21" s="78" t="str">
        <f t="shared" si="0"/>
        <v>DG.5.2</v>
      </c>
    </row>
    <row r="22" spans="1:3">
      <c r="A22" t="s">
        <v>91</v>
      </c>
      <c r="B22" t="str">
        <f>VLOOKUP(A22,'NDMO Specs. Overview'!B:F,5,0)</f>
        <v>Partially Compliant</v>
      </c>
      <c r="C22" s="78" t="b">
        <f t="shared" si="0"/>
        <v>0</v>
      </c>
    </row>
    <row r="23" spans="1:3">
      <c r="A23" t="s">
        <v>56</v>
      </c>
      <c r="B23" t="str">
        <f>VLOOKUP(A23,'NDMO Specs. Overview'!B:F,5,0)</f>
        <v>Non-Compliant</v>
      </c>
      <c r="C23" s="78" t="b">
        <f t="shared" si="0"/>
        <v>0</v>
      </c>
    </row>
    <row r="24" spans="1:3">
      <c r="A24" t="s">
        <v>170</v>
      </c>
      <c r="B24" t="str">
        <f>VLOOKUP(A24,'NDMO Specs. Overview'!B:F,5,0)</f>
        <v>Non-Compliant</v>
      </c>
      <c r="C24" s="78" t="b">
        <f t="shared" si="0"/>
        <v>0</v>
      </c>
    </row>
    <row r="25" spans="1:3">
      <c r="A25" t="s">
        <v>2086</v>
      </c>
      <c r="B25" t="str">
        <f>VLOOKUP(A25,'NDMO Specs. Overview'!B:F,5,0)</f>
        <v>Non-Compliant</v>
      </c>
      <c r="C25" s="78" t="b">
        <f t="shared" si="0"/>
        <v>0</v>
      </c>
    </row>
    <row r="26" spans="1:3">
      <c r="A26" t="s">
        <v>60</v>
      </c>
      <c r="B26" t="str">
        <f>VLOOKUP(A26,'NDMO Specs. Overview'!B:F,5,0)</f>
        <v>Partially Compliant</v>
      </c>
      <c r="C26" s="78" t="b">
        <f t="shared" si="0"/>
        <v>0</v>
      </c>
    </row>
    <row r="27" spans="1:3">
      <c r="A27" t="s">
        <v>177</v>
      </c>
      <c r="B27" t="str">
        <f>VLOOKUP(A27,'NDMO Specs. Overview'!B:F,5,0)</f>
        <v>Partially Compliant</v>
      </c>
      <c r="C27" s="78" t="b">
        <f t="shared" si="0"/>
        <v>0</v>
      </c>
    </row>
    <row r="28" spans="1:3">
      <c r="A28" t="s">
        <v>182</v>
      </c>
      <c r="B28" t="str">
        <f>VLOOKUP(A28,'NDMO Specs. Overview'!B:F,5,0)</f>
        <v>Partially Compliant</v>
      </c>
      <c r="C28" s="78" t="b">
        <f t="shared" si="0"/>
        <v>0</v>
      </c>
    </row>
    <row r="29" spans="1:3">
      <c r="A29" t="s">
        <v>186</v>
      </c>
      <c r="B29" t="str">
        <f>VLOOKUP(A29,'NDMO Specs. Overview'!B:F,5,0)</f>
        <v>Fully Compliant</v>
      </c>
      <c r="C29" s="78" t="str">
        <f t="shared" si="0"/>
        <v>DG.8.3</v>
      </c>
    </row>
    <row r="30" spans="1:3">
      <c r="A30" t="s">
        <v>1009</v>
      </c>
      <c r="B30" t="str">
        <f>VLOOKUP(A30,'NDMO Specs. Overview'!B:F,5,0)</f>
        <v>Fully Compliant</v>
      </c>
      <c r="C30" s="78" t="str">
        <f t="shared" si="0"/>
        <v>MCM.1.1</v>
      </c>
    </row>
    <row r="31" spans="1:3">
      <c r="A31" t="s">
        <v>1036</v>
      </c>
      <c r="B31" t="str">
        <f>VLOOKUP(A31,'NDMO Specs. Overview'!B:F,5,0)</f>
        <v>Non-Compliant</v>
      </c>
      <c r="C31" s="78" t="b">
        <f t="shared" si="0"/>
        <v>0</v>
      </c>
    </row>
    <row r="32" spans="1:3">
      <c r="A32" t="s">
        <v>1040</v>
      </c>
      <c r="B32" t="str">
        <f>VLOOKUP(A32,'NDMO Specs. Overview'!B:F,5,0)</f>
        <v>Non-Compliant</v>
      </c>
      <c r="C32" s="78" t="b">
        <f t="shared" si="0"/>
        <v>0</v>
      </c>
    </row>
    <row r="33" spans="1:3">
      <c r="A33" t="s">
        <v>1054</v>
      </c>
      <c r="B33" t="str">
        <f>VLOOKUP(A33,'NDMO Specs. Overview'!B:F,5,0)</f>
        <v>Non-Compliant</v>
      </c>
      <c r="C33" s="78" t="b">
        <f t="shared" si="0"/>
        <v>0</v>
      </c>
    </row>
    <row r="34" spans="1:3">
      <c r="A34" t="s">
        <v>1058</v>
      </c>
      <c r="B34" t="str">
        <f>VLOOKUP(A34,'NDMO Specs. Overview'!B:F,5,0)</f>
        <v>Non-Compliant</v>
      </c>
      <c r="C34" s="78" t="b">
        <f t="shared" si="0"/>
        <v>0</v>
      </c>
    </row>
    <row r="35" spans="1:3">
      <c r="A35" t="s">
        <v>1070</v>
      </c>
      <c r="B35" t="str">
        <f>VLOOKUP(A35,'NDMO Specs. Overview'!B:F,5,0)</f>
        <v>Non-Compliant</v>
      </c>
      <c r="C35" s="78" t="b">
        <f t="shared" si="0"/>
        <v>0</v>
      </c>
    </row>
    <row r="36" spans="1:3">
      <c r="A36" t="s">
        <v>1062</v>
      </c>
      <c r="B36" t="str">
        <f>VLOOKUP(A36,'NDMO Specs. Overview'!B:F,5,0)</f>
        <v>Non-Compliant</v>
      </c>
      <c r="C36" s="78" t="b">
        <f t="shared" si="0"/>
        <v>0</v>
      </c>
    </row>
    <row r="37" spans="1:3">
      <c r="A37" t="s">
        <v>1131</v>
      </c>
      <c r="B37" t="str">
        <f>VLOOKUP(A37,'NDMO Specs. Overview'!B:F,5,0)</f>
        <v>Non-Compliant</v>
      </c>
      <c r="C37" s="78" t="b">
        <f t="shared" si="0"/>
        <v>0</v>
      </c>
    </row>
    <row r="38" spans="1:3">
      <c r="A38" t="s">
        <v>1101</v>
      </c>
      <c r="B38" t="str">
        <f>VLOOKUP(A38,'NDMO Specs. Overview'!B:F,5,0)</f>
        <v>Non-Compliant</v>
      </c>
      <c r="C38" s="78" t="b">
        <f t="shared" si="0"/>
        <v>0</v>
      </c>
    </row>
    <row r="39" spans="1:3">
      <c r="A39" t="s">
        <v>1013</v>
      </c>
      <c r="B39" t="str">
        <f>VLOOKUP(A39,'NDMO Specs. Overview'!B:F,5,0)</f>
        <v>Non-Compliant</v>
      </c>
      <c r="C39" s="78" t="b">
        <f t="shared" si="0"/>
        <v>0</v>
      </c>
    </row>
    <row r="40" spans="1:3">
      <c r="A40" t="s">
        <v>1105</v>
      </c>
      <c r="B40" t="str">
        <f>VLOOKUP(A40,'NDMO Specs. Overview'!B:F,5,0)</f>
        <v>Non-Compliant</v>
      </c>
      <c r="C40" s="78" t="b">
        <f t="shared" si="0"/>
        <v>0</v>
      </c>
    </row>
    <row r="41" spans="1:3">
      <c r="A41" t="s">
        <v>1109</v>
      </c>
      <c r="B41" t="str">
        <f>VLOOKUP(A41,'NDMO Specs. Overview'!B:F,5,0)</f>
        <v>Non-Compliant</v>
      </c>
      <c r="C41" s="78" t="b">
        <f t="shared" si="0"/>
        <v>0</v>
      </c>
    </row>
    <row r="42" spans="1:3">
      <c r="A42" t="s">
        <v>1113</v>
      </c>
      <c r="B42" t="str">
        <f>VLOOKUP(A42,'NDMO Specs. Overview'!B:F,5,0)</f>
        <v>Non-Compliant</v>
      </c>
      <c r="C42" s="78" t="b">
        <f t="shared" si="0"/>
        <v>0</v>
      </c>
    </row>
    <row r="43" spans="1:3">
      <c r="A43" t="s">
        <v>1117</v>
      </c>
      <c r="B43" t="str">
        <f>VLOOKUP(A43,'NDMO Specs. Overview'!B:F,5,0)</f>
        <v>Non-Compliant</v>
      </c>
      <c r="C43" s="78" t="b">
        <f t="shared" si="0"/>
        <v>0</v>
      </c>
    </row>
    <row r="44" spans="1:3">
      <c r="A44" t="s">
        <v>1050</v>
      </c>
      <c r="B44" t="str">
        <f>VLOOKUP(A44,'NDMO Specs. Overview'!B:F,5,0)</f>
        <v>Non-Compliant</v>
      </c>
      <c r="C44" s="78" t="b">
        <f t="shared" si="0"/>
        <v>0</v>
      </c>
    </row>
    <row r="45" spans="1:3">
      <c r="A45" t="s">
        <v>1124</v>
      </c>
      <c r="B45" t="str">
        <f>VLOOKUP(A45,'NDMO Specs. Overview'!B:F,5,0)</f>
        <v>Non-Compliant</v>
      </c>
      <c r="C45" s="78" t="b">
        <f t="shared" si="0"/>
        <v>0</v>
      </c>
    </row>
    <row r="46" spans="1:3">
      <c r="A46" t="s">
        <v>1066</v>
      </c>
      <c r="B46" t="str">
        <f>VLOOKUP(A46,'NDMO Specs. Overview'!B:F,5,0)</f>
        <v>Non-Compliant</v>
      </c>
      <c r="C46" s="78" t="b">
        <f t="shared" si="0"/>
        <v>0</v>
      </c>
    </row>
    <row r="47" spans="1:3">
      <c r="A47" t="s">
        <v>1074</v>
      </c>
      <c r="B47" t="str">
        <f>VLOOKUP(A47,'NDMO Specs. Overview'!B:F,5,0)</f>
        <v>Non-Compliant</v>
      </c>
      <c r="C47" s="78" t="b">
        <f t="shared" si="0"/>
        <v>0</v>
      </c>
    </row>
    <row r="48" spans="1:3">
      <c r="A48" t="s">
        <v>1078</v>
      </c>
      <c r="B48" t="str">
        <f>VLOOKUP(A48,'NDMO Specs. Overview'!B:F,5,0)</f>
        <v>Non-Compliant</v>
      </c>
      <c r="C48" s="78" t="b">
        <f t="shared" si="0"/>
        <v>0</v>
      </c>
    </row>
    <row r="49" spans="1:3">
      <c r="A49" t="s">
        <v>1138</v>
      </c>
      <c r="B49" t="str">
        <f>VLOOKUP(A49,'NDMO Specs. Overview'!B:F,5,0)</f>
        <v>Non-Compliant</v>
      </c>
      <c r="C49" s="78" t="b">
        <f t="shared" si="0"/>
        <v>0</v>
      </c>
    </row>
    <row r="50" spans="1:3">
      <c r="A50" t="s">
        <v>480</v>
      </c>
      <c r="B50" t="str">
        <f>VLOOKUP(A50,'NDMO Specs. Overview'!B:F,5,0)</f>
        <v>Non-Compliant</v>
      </c>
      <c r="C50" s="78" t="b">
        <f t="shared" si="0"/>
        <v>0</v>
      </c>
    </row>
    <row r="51" spans="1:3">
      <c r="A51" t="s">
        <v>451</v>
      </c>
      <c r="B51" t="str">
        <f>VLOOKUP(A51,'NDMO Specs. Overview'!B:F,5,0)</f>
        <v>Fully Compliant</v>
      </c>
      <c r="C51" s="78" t="str">
        <f t="shared" si="0"/>
        <v>DQ.1.2</v>
      </c>
    </row>
    <row r="52" spans="1:3">
      <c r="A52" t="s">
        <v>495</v>
      </c>
      <c r="B52" t="str">
        <f>VLOOKUP(A52,'NDMO Specs. Overview'!B:F,5,0)</f>
        <v>Non-Compliant</v>
      </c>
      <c r="C52" s="78" t="b">
        <f t="shared" si="0"/>
        <v>0</v>
      </c>
    </row>
    <row r="53" spans="1:3">
      <c r="A53" t="s">
        <v>484</v>
      </c>
      <c r="B53" t="str">
        <f>VLOOKUP(A53,'NDMO Specs. Overview'!B:F,5,0)</f>
        <v>Non-Compliant</v>
      </c>
      <c r="C53" s="78" t="b">
        <f t="shared" si="0"/>
        <v>0</v>
      </c>
    </row>
    <row r="54" spans="1:3">
      <c r="A54" t="s">
        <v>488</v>
      </c>
      <c r="B54" t="str">
        <f>VLOOKUP(A54,'NDMO Specs. Overview'!B:F,5,0)</f>
        <v>Non-Compliant</v>
      </c>
      <c r="C54" s="78" t="b">
        <f t="shared" si="0"/>
        <v>0</v>
      </c>
    </row>
    <row r="55" spans="1:3">
      <c r="A55" t="s">
        <v>492</v>
      </c>
      <c r="B55" t="str">
        <f>VLOOKUP(A55,'NDMO Specs. Overview'!B:F,5,0)</f>
        <v>Non-Compliant</v>
      </c>
      <c r="C55" s="78" t="b">
        <f t="shared" si="0"/>
        <v>0</v>
      </c>
    </row>
    <row r="56" spans="1:3">
      <c r="A56" t="s">
        <v>506</v>
      </c>
      <c r="B56" t="str">
        <f>VLOOKUP(A56,'NDMO Specs. Overview'!B:F,5,0)</f>
        <v>Non-Compliant</v>
      </c>
      <c r="C56" s="78" t="b">
        <f t="shared" si="0"/>
        <v>0</v>
      </c>
    </row>
    <row r="57" spans="1:3">
      <c r="A57" t="s">
        <v>502</v>
      </c>
      <c r="B57" t="str">
        <f>VLOOKUP(A57,'NDMO Specs. Overview'!B:F,5,0)</f>
        <v>Non-Compliant</v>
      </c>
      <c r="C57" s="78" t="b">
        <f t="shared" si="0"/>
        <v>0</v>
      </c>
    </row>
    <row r="58" spans="1:3">
      <c r="A58" t="s">
        <v>560</v>
      </c>
      <c r="B58" t="str">
        <f>VLOOKUP(A58,'NDMO Specs. Overview'!B:F,5,0)</f>
        <v>Non-Compliant</v>
      </c>
      <c r="C58" s="78" t="b">
        <f t="shared" si="0"/>
        <v>0</v>
      </c>
    </row>
    <row r="59" spans="1:3">
      <c r="A59" t="s">
        <v>519</v>
      </c>
      <c r="B59" t="str">
        <f>VLOOKUP(A59,'NDMO Specs. Overview'!B:F,5,0)</f>
        <v>Non-Compliant</v>
      </c>
      <c r="C59" s="78" t="b">
        <f t="shared" si="0"/>
        <v>0</v>
      </c>
    </row>
    <row r="60" spans="1:3">
      <c r="A60" t="s">
        <v>556</v>
      </c>
      <c r="B60" t="str">
        <f>VLOOKUP(A60,'NDMO Specs. Overview'!B:F,5,0)</f>
        <v>Non-Compliant</v>
      </c>
      <c r="C60" s="78" t="b">
        <f t="shared" si="0"/>
        <v>0</v>
      </c>
    </row>
    <row r="61" spans="1:3">
      <c r="A61" t="s">
        <v>552</v>
      </c>
      <c r="B61" t="str">
        <f>VLOOKUP(A61,'NDMO Specs. Overview'!B:F,5,0)</f>
        <v>Non-Compliant</v>
      </c>
      <c r="C61" s="78" t="b">
        <f t="shared" si="0"/>
        <v>0</v>
      </c>
    </row>
    <row r="62" spans="1:3">
      <c r="A62" t="s">
        <v>548</v>
      </c>
      <c r="B62" t="str">
        <f>VLOOKUP(A62,'NDMO Specs. Overview'!B:F,5,0)</f>
        <v>Non-Compliant</v>
      </c>
      <c r="C62" s="78" t="b">
        <f t="shared" si="0"/>
        <v>0</v>
      </c>
    </row>
    <row r="63" spans="1:3">
      <c r="A63" t="s">
        <v>874</v>
      </c>
      <c r="B63" t="str">
        <f>VLOOKUP(A63,'NDMO Specs. Overview'!B:F,5,0)</f>
        <v>Fully Compliant</v>
      </c>
      <c r="C63" s="78" t="str">
        <f t="shared" si="0"/>
        <v>DO.1.1</v>
      </c>
    </row>
    <row r="64" spans="1:3">
      <c r="A64" t="s">
        <v>886</v>
      </c>
      <c r="B64" t="str">
        <f>VLOOKUP(A64,'NDMO Specs. Overview'!B:F,5,0)</f>
        <v>Non-Compliant</v>
      </c>
      <c r="C64" s="78" t="b">
        <f t="shared" si="0"/>
        <v>0</v>
      </c>
    </row>
    <row r="65" spans="1:3">
      <c r="A65" t="s">
        <v>878</v>
      </c>
      <c r="B65" t="str">
        <f>VLOOKUP(A65,'NDMO Specs. Overview'!B:F,5,0)</f>
        <v>Non-Compliant</v>
      </c>
      <c r="C65" s="78" t="b">
        <f t="shared" si="0"/>
        <v>0</v>
      </c>
    </row>
    <row r="66" spans="1:3">
      <c r="A66" t="s">
        <v>890</v>
      </c>
      <c r="B66" t="str">
        <f>VLOOKUP(A66,'NDMO Specs. Overview'!B:F,5,0)</f>
        <v>Non-Compliant</v>
      </c>
      <c r="C66" s="78" t="b">
        <f t="shared" ref="C66:C129" si="1">IF(B66="Fully Compliant",A66)</f>
        <v>0</v>
      </c>
    </row>
    <row r="67" spans="1:3">
      <c r="A67" t="s">
        <v>882</v>
      </c>
      <c r="B67" t="str">
        <f>VLOOKUP(A67,'NDMO Specs. Overview'!B:F,5,0)</f>
        <v>Partially Compliant</v>
      </c>
      <c r="C67" s="78" t="b">
        <f t="shared" si="1"/>
        <v>0</v>
      </c>
    </row>
    <row r="68" spans="1:3">
      <c r="A68" t="s">
        <v>925</v>
      </c>
      <c r="B68" t="str">
        <f>VLOOKUP(A68,'NDMO Specs. Overview'!B:F,5,0)</f>
        <v>Non-Compliant</v>
      </c>
      <c r="C68" s="78" t="b">
        <f t="shared" si="1"/>
        <v>0</v>
      </c>
    </row>
    <row r="69" spans="1:3">
      <c r="A69" t="s">
        <v>929</v>
      </c>
      <c r="B69" t="str">
        <f>VLOOKUP(A69,'NDMO Specs. Overview'!B:F,5,0)</f>
        <v>Non-Compliant</v>
      </c>
      <c r="C69" s="78" t="b">
        <f t="shared" si="1"/>
        <v>0</v>
      </c>
    </row>
    <row r="70" spans="1:3">
      <c r="A70" t="s">
        <v>933</v>
      </c>
      <c r="B70" t="str">
        <f>VLOOKUP(A70,'NDMO Specs. Overview'!B:F,5,0)</f>
        <v>Non-Compliant</v>
      </c>
      <c r="C70" s="78" t="b">
        <f t="shared" si="1"/>
        <v>0</v>
      </c>
    </row>
    <row r="71" spans="1:3">
      <c r="A71" t="s">
        <v>937</v>
      </c>
      <c r="B71" t="str">
        <f>VLOOKUP(A71,'NDMO Specs. Overview'!B:F,5,0)</f>
        <v>Non-Compliant</v>
      </c>
      <c r="C71" s="78" t="b">
        <f t="shared" si="1"/>
        <v>0</v>
      </c>
    </row>
    <row r="72" spans="1:3">
      <c r="A72" t="s">
        <v>950</v>
      </c>
      <c r="B72" t="str">
        <f>VLOOKUP(A72,'NDMO Specs. Overview'!B:F,5,0)</f>
        <v>Non-Compliant</v>
      </c>
      <c r="C72" s="78" t="b">
        <f t="shared" si="1"/>
        <v>0</v>
      </c>
    </row>
    <row r="73" spans="1:3">
      <c r="A73" t="s">
        <v>967</v>
      </c>
      <c r="B73" t="str">
        <f>VLOOKUP(A73,'NDMO Specs. Overview'!B:F,5,0)</f>
        <v>Non-Compliant</v>
      </c>
      <c r="C73" s="78" t="b">
        <f t="shared" si="1"/>
        <v>0</v>
      </c>
    </row>
    <row r="74" spans="1:3">
      <c r="A74" t="s">
        <v>974</v>
      </c>
      <c r="B74" t="str">
        <f>VLOOKUP(A74,'NDMO Specs. Overview'!B:F,5,0)</f>
        <v>Non-Compliant</v>
      </c>
      <c r="C74" s="78" t="b">
        <f t="shared" si="1"/>
        <v>0</v>
      </c>
    </row>
    <row r="75" spans="1:3">
      <c r="A75" t="s">
        <v>993</v>
      </c>
      <c r="B75" t="str">
        <f>VLOOKUP(A75,'NDMO Specs. Overview'!B:F,5,0)</f>
        <v>Non-Compliant</v>
      </c>
      <c r="C75" s="78" t="b">
        <f t="shared" si="1"/>
        <v>0</v>
      </c>
    </row>
    <row r="76" spans="1:3">
      <c r="A76" t="s">
        <v>914</v>
      </c>
      <c r="B76" t="str">
        <f>VLOOKUP(A76,'NDMO Specs. Overview'!B:F,5,0)</f>
        <v>Non-Compliant</v>
      </c>
      <c r="C76" s="78" t="b">
        <f t="shared" si="1"/>
        <v>0</v>
      </c>
    </row>
    <row r="77" spans="1:3">
      <c r="A77" t="s">
        <v>752</v>
      </c>
      <c r="B77" t="str">
        <f>VLOOKUP(A77,'NDMO Specs. Overview'!B:F,5,0)</f>
        <v>Fully Compliant</v>
      </c>
      <c r="C77" s="78" t="str">
        <f t="shared" si="1"/>
        <v>DCM.1.1</v>
      </c>
    </row>
    <row r="78" spans="1:3">
      <c r="A78" t="s">
        <v>756</v>
      </c>
      <c r="B78" t="str">
        <f>VLOOKUP(A78,'NDMO Specs. Overview'!B:F,5,0)</f>
        <v>Fully Compliant</v>
      </c>
      <c r="C78" s="78" t="str">
        <f t="shared" si="1"/>
        <v>DCM.1.2</v>
      </c>
    </row>
    <row r="79" spans="1:3">
      <c r="A79" t="s">
        <v>779</v>
      </c>
      <c r="B79" t="str">
        <f>VLOOKUP(A79,'NDMO Specs. Overview'!B:F,5,0)</f>
        <v>Non-Compliant</v>
      </c>
      <c r="C79" s="78" t="b">
        <f t="shared" si="1"/>
        <v>0</v>
      </c>
    </row>
    <row r="80" spans="1:3">
      <c r="A80" t="s">
        <v>763</v>
      </c>
      <c r="B80" t="str">
        <f>VLOOKUP(A80,'NDMO Specs. Overview'!B:F,5,0)</f>
        <v>Non-Compliant</v>
      </c>
      <c r="C80" s="78" t="b">
        <f t="shared" si="1"/>
        <v>0</v>
      </c>
    </row>
    <row r="81" spans="1:3">
      <c r="A81" t="s">
        <v>800</v>
      </c>
      <c r="B81" t="str">
        <f>VLOOKUP(A81,'NDMO Specs. Overview'!B:F,5,0)</f>
        <v>Fully Compliant</v>
      </c>
      <c r="C81" s="78" t="str">
        <f t="shared" si="1"/>
        <v>DCM.2.1</v>
      </c>
    </row>
    <row r="82" spans="1:3">
      <c r="A82" t="s">
        <v>786</v>
      </c>
      <c r="B82" t="str">
        <f>VLOOKUP(A82,'NDMO Specs. Overview'!B:F,5,0)</f>
        <v>Non-Compliant</v>
      </c>
      <c r="C82" s="78" t="b">
        <f t="shared" si="1"/>
        <v>0</v>
      </c>
    </row>
    <row r="83" spans="1:3">
      <c r="A83" t="s">
        <v>804</v>
      </c>
      <c r="B83" t="str">
        <f>VLOOKUP(A83,'NDMO Specs. Overview'!B:F,5,0)</f>
        <v>Non-Compliant</v>
      </c>
      <c r="C83" s="78" t="b">
        <f t="shared" si="1"/>
        <v>0</v>
      </c>
    </row>
    <row r="84" spans="1:3">
      <c r="A84" t="s">
        <v>808</v>
      </c>
      <c r="B84" t="str">
        <f>VLOOKUP(A84,'NDMO Specs. Overview'!B:F,5,0)</f>
        <v>Non-Compliant</v>
      </c>
      <c r="C84" s="78" t="b">
        <f t="shared" si="1"/>
        <v>0</v>
      </c>
    </row>
    <row r="85" spans="1:3">
      <c r="A85" t="s">
        <v>812</v>
      </c>
      <c r="B85" t="str">
        <f>VLOOKUP(A85,'NDMO Specs. Overview'!B:F,5,0)</f>
        <v>Non-Compliant</v>
      </c>
      <c r="C85" s="78" t="b">
        <f t="shared" si="1"/>
        <v>0</v>
      </c>
    </row>
    <row r="86" spans="1:3">
      <c r="A86" t="s">
        <v>834</v>
      </c>
      <c r="B86" t="str">
        <f>VLOOKUP(A86,'NDMO Specs. Overview'!B:F,5,0)</f>
        <v>Non-Compliant</v>
      </c>
      <c r="C86" s="78" t="b">
        <f t="shared" si="1"/>
        <v>0</v>
      </c>
    </row>
    <row r="87" spans="1:3">
      <c r="A87" t="s">
        <v>852</v>
      </c>
      <c r="B87" t="str">
        <f>VLOOKUP(A87,'NDMO Specs. Overview'!B:F,5,0)</f>
        <v>Non-Compliant</v>
      </c>
      <c r="C87" s="78" t="b">
        <f t="shared" si="1"/>
        <v>0</v>
      </c>
    </row>
    <row r="88" spans="1:3">
      <c r="A88" t="s">
        <v>838</v>
      </c>
      <c r="B88" t="str">
        <f>VLOOKUP(A88,'NDMO Specs. Overview'!B:F,5,0)</f>
        <v>Non-Compliant</v>
      </c>
      <c r="C88" s="78" t="b">
        <f t="shared" si="1"/>
        <v>0</v>
      </c>
    </row>
    <row r="89" spans="1:3">
      <c r="A89" t="s">
        <v>1439</v>
      </c>
      <c r="B89" t="str">
        <f>VLOOKUP(A89,'NDMO Specs. Overview'!B:F,5,0)</f>
        <v>Fully Compliant</v>
      </c>
      <c r="C89" s="78" t="str">
        <f t="shared" si="1"/>
        <v>DAM.1.1</v>
      </c>
    </row>
    <row r="90" spans="1:3">
      <c r="A90" t="s">
        <v>1458</v>
      </c>
      <c r="B90" t="str">
        <f>VLOOKUP(A90,'NDMO Specs. Overview'!B:F,5,0)</f>
        <v>Partially Compliant</v>
      </c>
      <c r="C90" s="78" t="b">
        <f t="shared" si="1"/>
        <v>0</v>
      </c>
    </row>
    <row r="91" spans="1:3">
      <c r="A91" t="s">
        <v>1443</v>
      </c>
      <c r="B91" t="str">
        <f>VLOOKUP(A91,'NDMO Specs. Overview'!B:F,5,0)</f>
        <v>Partially Compliant</v>
      </c>
      <c r="C91" s="78" t="b">
        <f t="shared" si="1"/>
        <v>0</v>
      </c>
    </row>
    <row r="92" spans="1:3">
      <c r="A92" t="s">
        <v>1447</v>
      </c>
      <c r="B92" t="str">
        <f>VLOOKUP(A92,'NDMO Specs. Overview'!B:F,5,0)</f>
        <v>Partially Compliant</v>
      </c>
      <c r="C92" s="78" t="b">
        <f t="shared" si="1"/>
        <v>0</v>
      </c>
    </row>
    <row r="93" spans="1:3">
      <c r="A93" t="s">
        <v>1451</v>
      </c>
      <c r="B93" t="str">
        <f>VLOOKUP(A93,'NDMO Specs. Overview'!B:F,5,0)</f>
        <v>Non-Compliant</v>
      </c>
      <c r="C93" s="78" t="b">
        <f t="shared" si="1"/>
        <v>0</v>
      </c>
    </row>
    <row r="94" spans="1:3">
      <c r="A94" t="s">
        <v>1492</v>
      </c>
      <c r="B94" t="str">
        <f>VLOOKUP(A94,'NDMO Specs. Overview'!B:F,5,0)</f>
        <v>Non-Compliant</v>
      </c>
      <c r="C94" s="78" t="b">
        <f t="shared" si="1"/>
        <v>0</v>
      </c>
    </row>
    <row r="95" spans="1:3">
      <c r="A95" t="s">
        <v>1496</v>
      </c>
      <c r="B95" t="str">
        <f>VLOOKUP(A95,'NDMO Specs. Overview'!B:F,5,0)</f>
        <v>Non-Compliant</v>
      </c>
      <c r="C95" s="78" t="b">
        <f t="shared" si="1"/>
        <v>0</v>
      </c>
    </row>
    <row r="96" spans="1:3">
      <c r="A96" t="s">
        <v>1500</v>
      </c>
      <c r="B96" t="str">
        <f>VLOOKUP(A96,'NDMO Specs. Overview'!B:F,5,0)</f>
        <v>Non-Compliant</v>
      </c>
      <c r="C96" s="78" t="b">
        <f t="shared" si="1"/>
        <v>0</v>
      </c>
    </row>
    <row r="97" spans="1:3">
      <c r="A97" t="s">
        <v>1514</v>
      </c>
      <c r="B97" t="str">
        <f>VLOOKUP(A97,'NDMO Specs. Overview'!B:F,5,0)</f>
        <v>Non-Compliant</v>
      </c>
      <c r="C97" s="78" t="b">
        <f t="shared" si="1"/>
        <v>0</v>
      </c>
    </row>
    <row r="98" spans="1:3">
      <c r="A98" t="s">
        <v>1474</v>
      </c>
      <c r="B98" t="str">
        <f>VLOOKUP(A98,'NDMO Specs. Overview'!B:F,5,0)</f>
        <v>Non-Compliant</v>
      </c>
      <c r="C98" s="78" t="b">
        <f t="shared" si="1"/>
        <v>0</v>
      </c>
    </row>
    <row r="99" spans="1:3">
      <c r="A99" t="s">
        <v>1481</v>
      </c>
      <c r="B99" t="str">
        <f>VLOOKUP(A99,'NDMO Specs. Overview'!B:F,5,0)</f>
        <v>Non-Compliant</v>
      </c>
      <c r="C99" s="78" t="b">
        <f t="shared" si="1"/>
        <v>0</v>
      </c>
    </row>
    <row r="100" spans="1:3">
      <c r="A100" t="s">
        <v>1467</v>
      </c>
      <c r="B100" t="str">
        <f>VLOOKUP(A100,'NDMO Specs. Overview'!B:F,5,0)</f>
        <v>Non-Compliant</v>
      </c>
      <c r="C100" s="78" t="b">
        <f t="shared" si="1"/>
        <v>0</v>
      </c>
    </row>
    <row r="101" spans="1:3">
      <c r="A101" t="s">
        <v>1504</v>
      </c>
      <c r="B101" t="str">
        <f>VLOOKUP(A101,'NDMO Specs. Overview'!B:F,5,0)</f>
        <v>Non-Compliant</v>
      </c>
      <c r="C101" s="78" t="b">
        <f t="shared" si="1"/>
        <v>0</v>
      </c>
    </row>
    <row r="102" spans="1:3">
      <c r="A102" t="s">
        <v>288</v>
      </c>
      <c r="B102" t="str">
        <f>VLOOKUP(A102,'NDMO Specs. Overview'!B:F,5,0)</f>
        <v>Partially Compliant</v>
      </c>
      <c r="C102" s="78" t="b">
        <f t="shared" si="1"/>
        <v>0</v>
      </c>
    </row>
    <row r="103" spans="1:3">
      <c r="A103" t="s">
        <v>295</v>
      </c>
      <c r="B103" t="str">
        <f>VLOOKUP(A103,'NDMO Specs. Overview'!B:F,5,0)</f>
        <v>Non-Compliant</v>
      </c>
      <c r="C103" s="78" t="b">
        <f t="shared" si="1"/>
        <v>0</v>
      </c>
    </row>
    <row r="104" spans="1:3">
      <c r="A104" t="s">
        <v>299</v>
      </c>
      <c r="B104" t="str">
        <f>VLOOKUP(A104,'NDMO Specs. Overview'!B:F,5,0)</f>
        <v>Partially Compliant</v>
      </c>
      <c r="C104" s="78" t="b">
        <f t="shared" si="1"/>
        <v>0</v>
      </c>
    </row>
    <row r="105" spans="1:3">
      <c r="A105" t="s">
        <v>312</v>
      </c>
      <c r="B105" t="str">
        <f>VLOOKUP(A105,'NDMO Specs. Overview'!B:F,5,0)</f>
        <v>Non-Compliant</v>
      </c>
      <c r="C105" s="78" t="b">
        <f t="shared" si="1"/>
        <v>0</v>
      </c>
    </row>
    <row r="106" spans="1:3">
      <c r="A106" t="s">
        <v>384</v>
      </c>
      <c r="B106" t="str">
        <f>VLOOKUP(A106,'NDMO Specs. Overview'!B:F,5,0)</f>
        <v>Fully Compliant</v>
      </c>
      <c r="C106" s="78" t="str">
        <f t="shared" si="1"/>
        <v>DSI.3.1</v>
      </c>
    </row>
    <row r="107" spans="1:3">
      <c r="A107" t="s">
        <v>388</v>
      </c>
      <c r="B107" t="str">
        <f>VLOOKUP(A107,'NDMO Specs. Overview'!B:F,5,0)</f>
        <v>Non-Compliant</v>
      </c>
      <c r="C107" s="78" t="b">
        <f t="shared" si="1"/>
        <v>0</v>
      </c>
    </row>
    <row r="108" spans="1:3">
      <c r="A108" t="s">
        <v>395</v>
      </c>
      <c r="B108" t="str">
        <f>VLOOKUP(A108,'NDMO Specs. Overview'!B:F,5,0)</f>
        <v>Non-Compliant</v>
      </c>
      <c r="C108" s="78" t="b">
        <f t="shared" si="1"/>
        <v>0</v>
      </c>
    </row>
    <row r="109" spans="1:3">
      <c r="A109" t="s">
        <v>403</v>
      </c>
      <c r="B109" t="str">
        <f>VLOOKUP(A109,'NDMO Specs. Overview'!B:F,5,0)</f>
        <v>Non-Compliant</v>
      </c>
      <c r="C109" s="78" t="b">
        <f t="shared" si="1"/>
        <v>0</v>
      </c>
    </row>
    <row r="110" spans="1:3">
      <c r="A110" t="s">
        <v>417</v>
      </c>
      <c r="B110" t="str">
        <f>VLOOKUP(A110,'NDMO Specs. Overview'!B:F,5,0)</f>
        <v>Non-Compliant</v>
      </c>
      <c r="C110" s="78" t="b">
        <f t="shared" si="1"/>
        <v>0</v>
      </c>
    </row>
    <row r="111" spans="1:3">
      <c r="A111" t="s">
        <v>421</v>
      </c>
      <c r="B111" t="str">
        <f>VLOOKUP(A111,'NDMO Specs. Overview'!B:F,5,0)</f>
        <v>Non-Compliant</v>
      </c>
      <c r="C111" s="78" t="b">
        <f t="shared" si="1"/>
        <v>0</v>
      </c>
    </row>
    <row r="112" spans="1:3">
      <c r="A112" t="s">
        <v>329</v>
      </c>
      <c r="B112" t="str">
        <f>VLOOKUP(A112,'NDMO Specs. Overview'!B:F,5,0)</f>
        <v>Non-Compliant</v>
      </c>
      <c r="C112" s="78" t="b">
        <f t="shared" si="1"/>
        <v>0</v>
      </c>
    </row>
    <row r="113" spans="1:3">
      <c r="A113" t="s">
        <v>353</v>
      </c>
      <c r="B113" t="str">
        <f>VLOOKUP(A113,'NDMO Specs. Overview'!B:F,5,0)</f>
        <v>Partially Compliant</v>
      </c>
      <c r="C113" s="78" t="b">
        <f t="shared" si="1"/>
        <v>0</v>
      </c>
    </row>
    <row r="114" spans="1:3">
      <c r="A114" t="s">
        <v>336</v>
      </c>
      <c r="B114" t="str">
        <f>VLOOKUP(A114,'NDMO Specs. Overview'!B:F,5,0)</f>
        <v>Non-Compliant</v>
      </c>
      <c r="C114" s="78" t="b">
        <f t="shared" si="1"/>
        <v>0</v>
      </c>
    </row>
    <row r="115" spans="1:3">
      <c r="A115" t="s">
        <v>340</v>
      </c>
      <c r="B115" t="str">
        <f>VLOOKUP(A115,'NDMO Specs. Overview'!B:F,5,0)</f>
        <v>Non-Compliant</v>
      </c>
      <c r="C115" s="78" t="b">
        <f t="shared" si="1"/>
        <v>0</v>
      </c>
    </row>
    <row r="116" spans="1:3">
      <c r="A116" t="s">
        <v>366</v>
      </c>
      <c r="B116" t="str">
        <f>VLOOKUP(A116,'NDMO Specs. Overview'!B:F,5,0)</f>
        <v>Non-Compliant</v>
      </c>
      <c r="C116" s="78" t="b">
        <f t="shared" si="1"/>
        <v>0</v>
      </c>
    </row>
    <row r="117" spans="1:3">
      <c r="A117" t="s">
        <v>370</v>
      </c>
      <c r="B117" t="str">
        <f>VLOOKUP(A117,'NDMO Specs. Overview'!B:F,5,0)</f>
        <v>Non-Compliant</v>
      </c>
      <c r="C117" s="78" t="b">
        <f t="shared" si="1"/>
        <v>0</v>
      </c>
    </row>
    <row r="118" spans="1:3">
      <c r="A118" t="s">
        <v>1151</v>
      </c>
      <c r="B118" t="str">
        <f>VLOOKUP(A118,'NDMO Specs. Overview'!B:F,5,0)</f>
        <v>Fully Compliant</v>
      </c>
      <c r="C118" s="78" t="str">
        <f t="shared" si="1"/>
        <v>RMD.1.1</v>
      </c>
    </row>
    <row r="119" spans="1:3">
      <c r="A119" t="s">
        <v>1184</v>
      </c>
      <c r="B119" t="str">
        <f>VLOOKUP(A119,'NDMO Specs. Overview'!B:F,5,0)</f>
        <v>Non-Compliant</v>
      </c>
      <c r="C119" s="78" t="b">
        <f t="shared" si="1"/>
        <v>0</v>
      </c>
    </row>
    <row r="120" spans="1:3">
      <c r="A120" t="s">
        <v>1188</v>
      </c>
      <c r="B120" t="str">
        <f>VLOOKUP(A120,'NDMO Specs. Overview'!B:F,5,0)</f>
        <v>Non-Compliant</v>
      </c>
      <c r="C120" s="78" t="b">
        <f t="shared" si="1"/>
        <v>0</v>
      </c>
    </row>
    <row r="121" spans="1:3">
      <c r="A121" t="s">
        <v>1192</v>
      </c>
      <c r="B121" t="str">
        <f>VLOOKUP(A121,'NDMO Specs. Overview'!B:F,5,0)</f>
        <v>Non-Compliant</v>
      </c>
      <c r="C121" s="78" t="b">
        <f t="shared" si="1"/>
        <v>0</v>
      </c>
    </row>
    <row r="122" spans="1:3">
      <c r="A122" t="s">
        <v>1196</v>
      </c>
      <c r="B122" t="str">
        <f>VLOOKUP(A122,'NDMO Specs. Overview'!B:F,5,0)</f>
        <v>Non-Compliant</v>
      </c>
      <c r="C122" s="78" t="b">
        <f t="shared" si="1"/>
        <v>0</v>
      </c>
    </row>
    <row r="123" spans="1:3">
      <c r="A123" t="s">
        <v>1222</v>
      </c>
      <c r="B123" t="str">
        <f>VLOOKUP(A123,'NDMO Specs. Overview'!B:F,5,0)</f>
        <v>Non-Compliant</v>
      </c>
      <c r="C123" s="78" t="b">
        <f t="shared" si="1"/>
        <v>0</v>
      </c>
    </row>
    <row r="124" spans="1:3">
      <c r="A124" t="s">
        <v>1226</v>
      </c>
      <c r="B124" t="str">
        <f>VLOOKUP(A124,'NDMO Specs. Overview'!B:F,5,0)</f>
        <v>Non-Compliant</v>
      </c>
      <c r="C124" s="78" t="b">
        <f t="shared" si="1"/>
        <v>0</v>
      </c>
    </row>
    <row r="125" spans="1:3">
      <c r="A125" t="s">
        <v>1230</v>
      </c>
      <c r="B125" t="str">
        <f>VLOOKUP(A125,'NDMO Specs. Overview'!B:F,5,0)</f>
        <v>Non-Compliant</v>
      </c>
      <c r="C125" s="78" t="b">
        <f t="shared" si="1"/>
        <v>0</v>
      </c>
    </row>
    <row r="126" spans="1:3">
      <c r="A126" t="s">
        <v>1234</v>
      </c>
      <c r="B126" t="str">
        <f>VLOOKUP(A126,'NDMO Specs. Overview'!B:F,5,0)</f>
        <v>Non-Compliant</v>
      </c>
      <c r="C126" s="78" t="b">
        <f t="shared" si="1"/>
        <v>0</v>
      </c>
    </row>
    <row r="127" spans="1:3">
      <c r="A127" t="s">
        <v>1158</v>
      </c>
      <c r="B127" t="str">
        <f>VLOOKUP(A127,'NDMO Specs. Overview'!B:F,5,0)</f>
        <v>Non-Compliant</v>
      </c>
      <c r="C127" s="78" t="b">
        <f t="shared" si="1"/>
        <v>0</v>
      </c>
    </row>
    <row r="128" spans="1:3">
      <c r="A128" t="s">
        <v>1162</v>
      </c>
      <c r="B128" t="str">
        <f>VLOOKUP(A128,'NDMO Specs. Overview'!B:F,5,0)</f>
        <v>Non-Compliant</v>
      </c>
      <c r="C128" s="78" t="b">
        <f t="shared" si="1"/>
        <v>0</v>
      </c>
    </row>
    <row r="129" spans="1:3">
      <c r="A129" t="s">
        <v>1204</v>
      </c>
      <c r="B129" t="str">
        <f>VLOOKUP(A129,'NDMO Specs. Overview'!B:F,5,0)</f>
        <v>Non-Compliant</v>
      </c>
      <c r="C129" s="78" t="b">
        <f t="shared" si="1"/>
        <v>0</v>
      </c>
    </row>
    <row r="130" spans="1:3">
      <c r="A130" t="s">
        <v>1238</v>
      </c>
      <c r="B130" t="str">
        <f>VLOOKUP(A130,'NDMO Specs. Overview'!B:F,5,0)</f>
        <v>Non-Compliant</v>
      </c>
      <c r="C130" s="78" t="b">
        <f t="shared" ref="C130:C193" si="2">IF(B130="Fully Compliant",A130)</f>
        <v>0</v>
      </c>
    </row>
    <row r="131" spans="1:3">
      <c r="A131" t="s">
        <v>1242</v>
      </c>
      <c r="B131" t="str">
        <f>VLOOKUP(A131,'NDMO Specs. Overview'!B:F,5,0)</f>
        <v>Non-Compliant</v>
      </c>
      <c r="C131" s="78" t="b">
        <f t="shared" si="2"/>
        <v>0</v>
      </c>
    </row>
    <row r="132" spans="1:3">
      <c r="A132" t="s">
        <v>1200</v>
      </c>
      <c r="B132" t="str">
        <f>VLOOKUP(A132,'NDMO Specs. Overview'!B:F,5,0)</f>
        <v>Non-Compliant</v>
      </c>
      <c r="C132" s="78" t="b">
        <f t="shared" si="2"/>
        <v>0</v>
      </c>
    </row>
    <row r="133" spans="1:3">
      <c r="A133" t="s">
        <v>1211</v>
      </c>
      <c r="B133" t="str">
        <f>VLOOKUP(A133,'NDMO Specs. Overview'!B:F,5,0)</f>
        <v>Non-Compliant</v>
      </c>
      <c r="C133" s="78" t="b">
        <f t="shared" si="2"/>
        <v>0</v>
      </c>
    </row>
    <row r="134" spans="1:3">
      <c r="A134" t="s">
        <v>1166</v>
      </c>
      <c r="B134" t="str">
        <f>VLOOKUP(A134,'NDMO Specs. Overview'!B:F,5,0)</f>
        <v>Non-Compliant</v>
      </c>
      <c r="C134" s="78" t="b">
        <f t="shared" si="2"/>
        <v>0</v>
      </c>
    </row>
    <row r="135" spans="1:3">
      <c r="A135" t="s">
        <v>1170</v>
      </c>
      <c r="B135" t="str">
        <f>VLOOKUP(A135,'NDMO Specs. Overview'!B:F,5,0)</f>
        <v>Non-Compliant</v>
      </c>
      <c r="C135" s="78" t="b">
        <f t="shared" si="2"/>
        <v>0</v>
      </c>
    </row>
    <row r="136" spans="1:3">
      <c r="A136" t="s">
        <v>1258</v>
      </c>
      <c r="B136" t="str">
        <f>VLOOKUP(A136,'NDMO Specs. Overview'!B:F,5,0)</f>
        <v>Fully Compliant</v>
      </c>
      <c r="C136" s="78" t="str">
        <f t="shared" si="2"/>
        <v>BIA.1.1</v>
      </c>
    </row>
    <row r="137" spans="1:3">
      <c r="A137" t="s">
        <v>1281</v>
      </c>
      <c r="B137" t="str">
        <f>VLOOKUP(A137,'NDMO Specs. Overview'!B:F,5,0)</f>
        <v>Non-Compliant</v>
      </c>
      <c r="C137" s="78" t="b">
        <f t="shared" si="2"/>
        <v>0</v>
      </c>
    </row>
    <row r="138" spans="1:3">
      <c r="A138" t="s">
        <v>1288</v>
      </c>
      <c r="B138" t="str">
        <f>VLOOKUP(A138,'NDMO Specs. Overview'!B:F,5,0)</f>
        <v>Non-Compliant</v>
      </c>
      <c r="C138" s="78" t="b">
        <f t="shared" si="2"/>
        <v>0</v>
      </c>
    </row>
    <row r="139" spans="1:3">
      <c r="A139" t="s">
        <v>1292</v>
      </c>
      <c r="B139" t="str">
        <f>VLOOKUP(A139,'NDMO Specs. Overview'!B:F,5,0)</f>
        <v>Non-Compliant</v>
      </c>
      <c r="C139" s="78" t="b">
        <f t="shared" si="2"/>
        <v>0</v>
      </c>
    </row>
    <row r="140" spans="1:3">
      <c r="A140" t="s">
        <v>1345</v>
      </c>
      <c r="B140" t="str">
        <f>VLOOKUP(A140,'NDMO Specs. Overview'!B:F,5,0)</f>
        <v>Non-Compliant</v>
      </c>
      <c r="C140" s="78" t="b">
        <f t="shared" si="2"/>
        <v>0</v>
      </c>
    </row>
    <row r="141" spans="1:3">
      <c r="A141" t="s">
        <v>1349</v>
      </c>
      <c r="B141" t="str">
        <f>VLOOKUP(A141,'NDMO Specs. Overview'!B:F,5,0)</f>
        <v>Partially Compliant</v>
      </c>
      <c r="C141" s="78" t="b">
        <f t="shared" si="2"/>
        <v>0</v>
      </c>
    </row>
    <row r="142" spans="1:3">
      <c r="A142" t="s">
        <v>1299</v>
      </c>
      <c r="B142" t="str">
        <f>VLOOKUP(A142,'NDMO Specs. Overview'!B:F,5,0)</f>
        <v>Non-Compliant</v>
      </c>
      <c r="C142" s="78" t="b">
        <f t="shared" si="2"/>
        <v>0</v>
      </c>
    </row>
    <row r="143" spans="1:3">
      <c r="A143" t="s">
        <v>1359</v>
      </c>
      <c r="B143" t="str">
        <f>VLOOKUP(A143,'NDMO Specs. Overview'!B:F,5,0)</f>
        <v>Fully Compliant</v>
      </c>
      <c r="C143" s="78" t="str">
        <f t="shared" si="2"/>
        <v>BIA.3.2</v>
      </c>
    </row>
    <row r="144" spans="1:3">
      <c r="A144" t="s">
        <v>1313</v>
      </c>
      <c r="B144" t="str">
        <f>VLOOKUP(A144,'NDMO Specs. Overview'!B:F,5,0)</f>
        <v>Non-Compliant</v>
      </c>
      <c r="C144" s="78" t="b">
        <f t="shared" si="2"/>
        <v>0</v>
      </c>
    </row>
    <row r="145" spans="1:3">
      <c r="A145" t="s">
        <v>1306</v>
      </c>
      <c r="B145" t="str">
        <f>VLOOKUP(A145,'NDMO Specs. Overview'!B:F,5,0)</f>
        <v>Non-Compliant</v>
      </c>
      <c r="C145" s="78" t="b">
        <f t="shared" si="2"/>
        <v>0</v>
      </c>
    </row>
    <row r="146" spans="1:3">
      <c r="A146" t="s">
        <v>686</v>
      </c>
      <c r="B146" t="str">
        <f>VLOOKUP(A146,'NDMO Specs. Overview'!B:F,5,0)</f>
        <v>Non-Compliant</v>
      </c>
      <c r="C146" s="78" t="b">
        <f t="shared" si="2"/>
        <v>0</v>
      </c>
    </row>
    <row r="147" spans="1:3">
      <c r="A147" t="s">
        <v>682</v>
      </c>
      <c r="B147" t="str">
        <f>VLOOKUP(A147,'NDMO Specs. Overview'!B:F,5,0)</f>
        <v>Fully Compliant</v>
      </c>
      <c r="C147" s="78" t="str">
        <f t="shared" si="2"/>
        <v>DVR.1.2</v>
      </c>
    </row>
    <row r="148" spans="1:3">
      <c r="A148" t="s">
        <v>723</v>
      </c>
      <c r="B148" t="str">
        <f>VLOOKUP(A148,'NDMO Specs. Overview'!B:F,5,0)</f>
        <v>Non-Compliant</v>
      </c>
      <c r="C148" s="78" t="b">
        <f t="shared" si="2"/>
        <v>0</v>
      </c>
    </row>
    <row r="149" spans="1:3">
      <c r="A149" t="s">
        <v>727</v>
      </c>
      <c r="B149" t="str">
        <f>VLOOKUP(A149,'NDMO Specs. Overview'!B:F,5,0)</f>
        <v>Non-Compliant</v>
      </c>
      <c r="C149" s="78" t="b">
        <f t="shared" si="2"/>
        <v>0</v>
      </c>
    </row>
    <row r="150" spans="1:3">
      <c r="A150" t="s">
        <v>731</v>
      </c>
      <c r="B150" t="str">
        <f>VLOOKUP(A150,'NDMO Specs. Overview'!B:F,5,0)</f>
        <v>Non-Compliant</v>
      </c>
      <c r="C150" s="78" t="b">
        <f t="shared" si="2"/>
        <v>0</v>
      </c>
    </row>
    <row r="151" spans="1:3">
      <c r="A151" t="s">
        <v>735</v>
      </c>
      <c r="B151" t="str">
        <f>VLOOKUP(A151,'NDMO Specs. Overview'!B:F,5,0)</f>
        <v>Non-Compliant</v>
      </c>
      <c r="C151" s="78" t="b">
        <f t="shared" si="2"/>
        <v>0</v>
      </c>
    </row>
    <row r="152" spans="1:3">
      <c r="A152" t="s">
        <v>693</v>
      </c>
      <c r="B152" t="str">
        <f>VLOOKUP(A152,'NDMO Specs. Overview'!B:F,5,0)</f>
        <v>Non-Compliant</v>
      </c>
      <c r="C152" s="78" t="b">
        <f t="shared" si="2"/>
        <v>0</v>
      </c>
    </row>
    <row r="153" spans="1:3">
      <c r="A153" t="s">
        <v>2346</v>
      </c>
      <c r="B153" t="str">
        <f>VLOOKUP(A153,'NDMO Specs. Overview'!B:F,5,0)</f>
        <v>Non-Compliant</v>
      </c>
      <c r="C153" s="78" t="b">
        <f t="shared" si="2"/>
        <v>0</v>
      </c>
    </row>
    <row r="154" spans="1:3">
      <c r="A154" t="s">
        <v>1614</v>
      </c>
      <c r="B154" t="str">
        <f>VLOOKUP(A154,'NDMO Specs. Overview'!B:F,5,0)</f>
        <v>Fully Compliant</v>
      </c>
      <c r="C154" s="78" t="str">
        <f t="shared" si="2"/>
        <v>OD.1.1</v>
      </c>
    </row>
    <row r="155" spans="1:3">
      <c r="A155" t="s">
        <v>1621</v>
      </c>
      <c r="B155" t="str">
        <f>VLOOKUP(A155,'NDMO Specs. Overview'!B:F,5,0)</f>
        <v>Non-Compliant</v>
      </c>
      <c r="C155" s="78" t="b">
        <f t="shared" si="2"/>
        <v>0</v>
      </c>
    </row>
    <row r="156" spans="1:3">
      <c r="A156" t="s">
        <v>1651</v>
      </c>
      <c r="B156" t="str">
        <f>VLOOKUP(A156,'NDMO Specs. Overview'!B:F,5,0)</f>
        <v>Non-Compliant</v>
      </c>
      <c r="C156" s="78" t="b">
        <f t="shared" si="2"/>
        <v>0</v>
      </c>
    </row>
    <row r="157" spans="1:3">
      <c r="A157" t="s">
        <v>1664</v>
      </c>
      <c r="B157" t="str">
        <f>VLOOKUP(A157,'NDMO Specs. Overview'!B:F,5,0)</f>
        <v>Non-Compliant</v>
      </c>
      <c r="C157" s="78" t="b">
        <f t="shared" si="2"/>
        <v>0</v>
      </c>
    </row>
    <row r="158" spans="1:3">
      <c r="A158" t="s">
        <v>1695</v>
      </c>
      <c r="B158" t="str">
        <f>VLOOKUP(A158,'NDMO Specs. Overview'!B:F,5,0)</f>
        <v>Non-Compliant</v>
      </c>
      <c r="C158" s="78" t="b">
        <f t="shared" si="2"/>
        <v>0</v>
      </c>
    </row>
    <row r="159" spans="1:3">
      <c r="A159" t="s">
        <v>1668</v>
      </c>
      <c r="B159" t="str">
        <f>VLOOKUP(A159,'NDMO Specs. Overview'!B:F,5,0)</f>
        <v>Non-Compliant</v>
      </c>
      <c r="C159" s="78" t="b">
        <f t="shared" si="2"/>
        <v>0</v>
      </c>
    </row>
    <row r="160" spans="1:3">
      <c r="A160" t="s">
        <v>1702</v>
      </c>
      <c r="B160" t="str">
        <f>VLOOKUP(A160,'NDMO Specs. Overview'!B:F,5,0)</f>
        <v>Non-Compliant</v>
      </c>
      <c r="C160" s="78" t="b">
        <f t="shared" si="2"/>
        <v>0</v>
      </c>
    </row>
    <row r="161" spans="1:3">
      <c r="A161" t="s">
        <v>1709</v>
      </c>
      <c r="B161" t="str">
        <f>VLOOKUP(A161,'NDMO Specs. Overview'!B:F,5,0)</f>
        <v>Non-Compliant</v>
      </c>
      <c r="C161" s="78" t="b">
        <f t="shared" si="2"/>
        <v>0</v>
      </c>
    </row>
    <row r="162" spans="1:3">
      <c r="A162" t="s">
        <v>1640</v>
      </c>
      <c r="B162" t="str">
        <f>VLOOKUP(A162,'NDMO Specs. Overview'!B:F,5,0)</f>
        <v>Non-Compliant</v>
      </c>
      <c r="C162" s="78" t="b">
        <f t="shared" si="2"/>
        <v>0</v>
      </c>
    </row>
    <row r="163" spans="1:3">
      <c r="A163" t="s">
        <v>1713</v>
      </c>
      <c r="B163" t="str">
        <f>VLOOKUP(A163,'NDMO Specs. Overview'!B:F,5,0)</f>
        <v>Non-Compliant</v>
      </c>
      <c r="C163" s="78" t="b">
        <f t="shared" si="2"/>
        <v>0</v>
      </c>
    </row>
    <row r="164" spans="1:3">
      <c r="A164" t="s">
        <v>1536</v>
      </c>
      <c r="B164" t="str">
        <f>VLOOKUP(A164,'NDMO Specs. Overview'!B:F,5,0)</f>
        <v>Non-Compliant</v>
      </c>
      <c r="C164" s="78" t="b">
        <f t="shared" si="2"/>
        <v>0</v>
      </c>
    </row>
    <row r="165" spans="1:3">
      <c r="A165" t="s">
        <v>1546</v>
      </c>
      <c r="B165" t="str">
        <f>VLOOKUP(A165,'NDMO Specs. Overview'!B:F,5,0)</f>
        <v>Non-Compliant</v>
      </c>
      <c r="C165" s="78" t="b">
        <f t="shared" si="2"/>
        <v>0</v>
      </c>
    </row>
    <row r="166" spans="1:3">
      <c r="A166" t="s">
        <v>1564</v>
      </c>
      <c r="B166" t="str">
        <f>VLOOKUP(A166,'NDMO Specs. Overview'!B:F,5,0)</f>
        <v>Non-Compliant</v>
      </c>
      <c r="C166" s="78" t="b">
        <f t="shared" si="2"/>
        <v>0</v>
      </c>
    </row>
    <row r="167" spans="1:3">
      <c r="A167" t="s">
        <v>1571</v>
      </c>
      <c r="B167" t="str">
        <f>VLOOKUP(A167,'NDMO Specs. Overview'!B:F,5,0)</f>
        <v>Non-Compliant</v>
      </c>
      <c r="C167" s="78" t="b">
        <f t="shared" si="2"/>
        <v>0</v>
      </c>
    </row>
    <row r="168" spans="1:3">
      <c r="A168" t="s">
        <v>1575</v>
      </c>
      <c r="B168" t="str">
        <f>VLOOKUP(A168,'NDMO Specs. Overview'!B:F,5,0)</f>
        <v>Non-Compliant</v>
      </c>
      <c r="C168" s="78" t="b">
        <f t="shared" si="2"/>
        <v>0</v>
      </c>
    </row>
    <row r="169" spans="1:3">
      <c r="A169" t="s">
        <v>1579</v>
      </c>
      <c r="B169" t="str">
        <f>VLOOKUP(A169,'NDMO Specs. Overview'!B:F,5,0)</f>
        <v>Non-Compliant</v>
      </c>
      <c r="C169" s="78" t="b">
        <f t="shared" si="2"/>
        <v>0</v>
      </c>
    </row>
    <row r="170" spans="1:3">
      <c r="A170" t="s">
        <v>1589</v>
      </c>
      <c r="B170" t="str">
        <f>VLOOKUP(A170,'NDMO Specs. Overview'!B:F,5,0)</f>
        <v>Non-Compliant</v>
      </c>
      <c r="C170" s="78" t="b">
        <f t="shared" si="2"/>
        <v>0</v>
      </c>
    </row>
    <row r="171" spans="1:3">
      <c r="A171" t="s">
        <v>1553</v>
      </c>
      <c r="B171" t="str">
        <f>VLOOKUP(A171,'NDMO Specs. Overview'!B:F,5,0)</f>
        <v>Non-Compliant</v>
      </c>
      <c r="C171" s="78" t="b">
        <f t="shared" si="2"/>
        <v>0</v>
      </c>
    </row>
    <row r="172" spans="1:3">
      <c r="A172" t="s">
        <v>1593</v>
      </c>
      <c r="B172" t="str">
        <f>VLOOKUP(A172,'NDMO Specs. Overview'!B:F,5,0)</f>
        <v>Non-Compliant</v>
      </c>
      <c r="C172" s="78" t="b">
        <f t="shared" si="2"/>
        <v>0</v>
      </c>
    </row>
    <row r="173" spans="1:3">
      <c r="A173" t="s">
        <v>203</v>
      </c>
      <c r="B173" t="str">
        <f>VLOOKUP(A173,'NDMO Specs. Overview'!B:F,5,0)</f>
        <v>Fully Compliant</v>
      </c>
      <c r="C173" s="78" t="str">
        <f t="shared" si="2"/>
        <v>DC.1.1</v>
      </c>
    </row>
    <row r="174" spans="1:3">
      <c r="A174" t="s">
        <v>232</v>
      </c>
      <c r="B174" t="str">
        <f>VLOOKUP(A174,'NDMO Specs. Overview'!B:F,5,0)</f>
        <v>Fully Compliant</v>
      </c>
      <c r="C174" s="78" t="str">
        <f t="shared" si="2"/>
        <v>DC.1.2</v>
      </c>
    </row>
    <row r="175" spans="1:3">
      <c r="A175" t="s">
        <v>224</v>
      </c>
      <c r="B175" t="str">
        <f>VLOOKUP(A175,'NDMO Specs. Overview'!B:F,5,0)</f>
        <v>Partially Compliant</v>
      </c>
      <c r="C175" s="78" t="b">
        <f t="shared" si="2"/>
        <v>0</v>
      </c>
    </row>
    <row r="176" spans="1:3">
      <c r="A176" t="s">
        <v>228</v>
      </c>
      <c r="B176" t="str">
        <f>VLOOKUP(A176,'NDMO Specs. Overview'!B:F,5,0)</f>
        <v>Fully Compliant</v>
      </c>
      <c r="C176" s="78" t="str">
        <f t="shared" si="2"/>
        <v>DC.3.1</v>
      </c>
    </row>
    <row r="177" spans="1:3">
      <c r="A177" t="s">
        <v>236</v>
      </c>
      <c r="B177" t="str">
        <f>VLOOKUP(A177,'NDMO Specs. Overview'!B:F,5,0)</f>
        <v>Fully Compliant</v>
      </c>
      <c r="C177" s="78" t="str">
        <f t="shared" si="2"/>
        <v>DC.3.2</v>
      </c>
    </row>
    <row r="178" spans="1:3">
      <c r="A178" t="s">
        <v>240</v>
      </c>
      <c r="B178" t="str">
        <f>VLOOKUP(A178,'NDMO Specs. Overview'!B:F,5,0)</f>
        <v>Fully Compliant</v>
      </c>
      <c r="C178" s="78" t="str">
        <f t="shared" si="2"/>
        <v>DC.3.3</v>
      </c>
    </row>
    <row r="179" spans="1:3">
      <c r="A179" t="s">
        <v>268</v>
      </c>
      <c r="B179" t="str">
        <f>VLOOKUP(A179,'NDMO Specs. Overview'!B:F,5,0)</f>
        <v>Partially Compliant</v>
      </c>
      <c r="C179" s="78" t="b">
        <f t="shared" si="2"/>
        <v>0</v>
      </c>
    </row>
    <row r="180" spans="1:3">
      <c r="A180" t="s">
        <v>272</v>
      </c>
      <c r="B180" t="str">
        <f>VLOOKUP(A180,'NDMO Specs. Overview'!B:F,5,0)</f>
        <v>Non-Compliant</v>
      </c>
      <c r="C180" s="78" t="b">
        <f t="shared" si="2"/>
        <v>0</v>
      </c>
    </row>
    <row r="181" spans="1:3">
      <c r="A181" t="s">
        <v>254</v>
      </c>
      <c r="B181" t="str">
        <f>VLOOKUP(A181,'NDMO Specs. Overview'!B:F,5,0)</f>
        <v>Non-Compliant</v>
      </c>
      <c r="C181" s="78" t="b">
        <f t="shared" si="2"/>
        <v>0</v>
      </c>
    </row>
    <row r="182" spans="1:3">
      <c r="A182" t="s">
        <v>250</v>
      </c>
      <c r="B182" t="str">
        <f>VLOOKUP(A182,'NDMO Specs. Overview'!B:F,5,0)</f>
        <v>Fully Compliant</v>
      </c>
      <c r="C182" s="78" t="str">
        <f t="shared" si="2"/>
        <v>DC.5.1</v>
      </c>
    </row>
    <row r="183" spans="1:3">
      <c r="A183" t="s">
        <v>598</v>
      </c>
      <c r="B183" t="str">
        <f>VLOOKUP(A183,'NDMO Specs. Overview'!B:F,5,0)</f>
        <v>Fully Compliant</v>
      </c>
      <c r="C183" s="78" t="str">
        <f t="shared" si="2"/>
        <v>PDP.1.1</v>
      </c>
    </row>
    <row r="184" spans="1:3">
      <c r="A184" t="s">
        <v>602</v>
      </c>
      <c r="B184" t="str">
        <f>VLOOKUP(A184,'NDMO Specs. Overview'!B:F,5,0)</f>
        <v>Fully Compliant</v>
      </c>
      <c r="C184" s="78" t="str">
        <f t="shared" si="2"/>
        <v>PDP.1.2</v>
      </c>
    </row>
    <row r="185" spans="1:3">
      <c r="A185" t="s">
        <v>611</v>
      </c>
      <c r="B185" t="str">
        <f>VLOOKUP(A185,'NDMO Specs. Overview'!B:F,5,0)</f>
        <v>Fully Compliant</v>
      </c>
      <c r="C185" s="78" t="str">
        <f t="shared" si="2"/>
        <v>PDP.2.1</v>
      </c>
    </row>
    <row r="186" spans="1:3">
      <c r="A186" t="s">
        <v>646</v>
      </c>
      <c r="B186" t="str">
        <f>VLOOKUP(A186,'NDMO Specs. Overview'!B:F,5,0)</f>
        <v>Fully Compliant</v>
      </c>
      <c r="C186" s="78" t="str">
        <f t="shared" si="2"/>
        <v>PDP.3.1</v>
      </c>
    </row>
    <row r="187" spans="1:3">
      <c r="A187" t="s">
        <v>628</v>
      </c>
      <c r="B187" t="str">
        <f>VLOOKUP(A187,'NDMO Specs. Overview'!B:F,5,0)</f>
        <v>Fully Compliant</v>
      </c>
      <c r="C187" s="78" t="str">
        <f t="shared" si="2"/>
        <v>PDP.3.2</v>
      </c>
    </row>
    <row r="188" spans="1:3">
      <c r="A188" t="s">
        <v>635</v>
      </c>
      <c r="B188" t="str">
        <f>VLOOKUP(A188,'NDMO Specs. Overview'!B:F,5,0)</f>
        <v>Non-Compliant</v>
      </c>
      <c r="C188" s="78" t="b">
        <f t="shared" si="2"/>
        <v>0</v>
      </c>
    </row>
    <row r="189" spans="1:3">
      <c r="A189" t="s">
        <v>639</v>
      </c>
      <c r="B189" t="str">
        <f>VLOOKUP(A189,'NDMO Specs. Overview'!B:F,5,0)</f>
        <v>Non-Compliant</v>
      </c>
      <c r="C189" s="78" t="b">
        <f t="shared" si="2"/>
        <v>0</v>
      </c>
    </row>
    <row r="190" spans="1:3">
      <c r="A190" t="s">
        <v>652</v>
      </c>
      <c r="B190" t="str">
        <f>VLOOKUP(A190,'NDMO Specs. Overview'!B:F,5,0)</f>
        <v>Fully Compliant</v>
      </c>
      <c r="C190" s="78" t="str">
        <f t="shared" si="2"/>
        <v>PDP.4.3</v>
      </c>
    </row>
    <row r="191" spans="1:3">
      <c r="A191" t="s">
        <v>666</v>
      </c>
      <c r="B191" t="str">
        <f>VLOOKUP(A191,'NDMO Specs. Overview'!B:F,5,0)</f>
        <v>Partially Compliant</v>
      </c>
      <c r="C191" s="78" t="b">
        <f t="shared" si="2"/>
        <v>0</v>
      </c>
    </row>
    <row r="192" spans="1:3">
      <c r="A192" t="s">
        <v>659</v>
      </c>
      <c r="B192" t="str">
        <f>VLOOKUP(A192,'NDMO Specs. Overview'!B:F,5,0)</f>
        <v>Fully Compliant</v>
      </c>
      <c r="C192" s="78" t="str">
        <f t="shared" si="2"/>
        <v>PDP.5.1</v>
      </c>
    </row>
    <row r="193" spans="1:3">
      <c r="A193" t="s">
        <v>2468</v>
      </c>
      <c r="B193" t="e">
        <f>VLOOKUP(A193,'NDMO Specs. Overview'!B:F,5,0)</f>
        <v>#N/A</v>
      </c>
      <c r="C193" s="78" t="e">
        <f t="shared" si="2"/>
        <v>#N/A</v>
      </c>
    </row>
    <row r="194" spans="1:3">
      <c r="A194" t="s">
        <v>2469</v>
      </c>
      <c r="B194" t="e">
        <f>VLOOKUP(A194,'NDMO Specs. Overview'!B:F,5,0)</f>
        <v>#N/A</v>
      </c>
      <c r="C194" s="78" t="e">
        <f t="shared" ref="C194:C203" si="3">IF(B194="Fully Compliant",A194)</f>
        <v>#N/A</v>
      </c>
    </row>
    <row r="195" spans="1:3">
      <c r="A195" t="s">
        <v>2470</v>
      </c>
      <c r="B195" t="e">
        <f>VLOOKUP(A195,'NDMO Specs. Overview'!B:F,5,0)</f>
        <v>#N/A</v>
      </c>
      <c r="C195" s="78" t="e">
        <f t="shared" si="3"/>
        <v>#N/A</v>
      </c>
    </row>
    <row r="196" spans="1:3">
      <c r="A196" t="s">
        <v>2471</v>
      </c>
      <c r="B196" t="e">
        <f>VLOOKUP(A196,'NDMO Specs. Overview'!B:F,5,0)</f>
        <v>#N/A</v>
      </c>
      <c r="C196" s="78" t="e">
        <f t="shared" si="3"/>
        <v>#N/A</v>
      </c>
    </row>
    <row r="197" spans="1:3">
      <c r="A197" t="s">
        <v>2472</v>
      </c>
      <c r="B197" t="e">
        <f>VLOOKUP(A197,'NDMO Specs. Overview'!B:F,5,0)</f>
        <v>#N/A</v>
      </c>
      <c r="C197" s="78" t="e">
        <f t="shared" si="3"/>
        <v>#N/A</v>
      </c>
    </row>
    <row r="198" spans="1:3">
      <c r="A198" t="s">
        <v>2473</v>
      </c>
      <c r="B198" t="e">
        <f>VLOOKUP(A198,'NDMO Specs. Overview'!B:F,5,0)</f>
        <v>#N/A</v>
      </c>
      <c r="C198" s="78" t="e">
        <f t="shared" si="3"/>
        <v>#N/A</v>
      </c>
    </row>
    <row r="199" spans="1:3">
      <c r="A199" t="s">
        <v>2474</v>
      </c>
      <c r="B199" t="e">
        <f>VLOOKUP(A199,'NDMO Specs. Overview'!B:F,5,0)</f>
        <v>#N/A</v>
      </c>
      <c r="C199" s="78" t="e">
        <f t="shared" si="3"/>
        <v>#N/A</v>
      </c>
    </row>
    <row r="200" spans="1:3">
      <c r="A200" t="s">
        <v>2475</v>
      </c>
      <c r="B200" t="e">
        <f>VLOOKUP(A200,'NDMO Specs. Overview'!B:F,5,0)</f>
        <v>#N/A</v>
      </c>
      <c r="C200" s="78" t="e">
        <f t="shared" si="3"/>
        <v>#N/A</v>
      </c>
    </row>
    <row r="201" spans="1:3">
      <c r="A201" t="s">
        <v>2476</v>
      </c>
      <c r="B201" t="e">
        <f>VLOOKUP(A201,'NDMO Specs. Overview'!B:F,5,0)</f>
        <v>#N/A</v>
      </c>
      <c r="C201" s="78" t="e">
        <f t="shared" si="3"/>
        <v>#N/A</v>
      </c>
    </row>
    <row r="202" spans="1:3">
      <c r="A202" t="s">
        <v>2477</v>
      </c>
      <c r="B202" t="e">
        <f>VLOOKUP(A202,'NDMO Specs. Overview'!B:F,5,0)</f>
        <v>#N/A</v>
      </c>
      <c r="C202" s="78" t="e">
        <f t="shared" si="3"/>
        <v>#N/A</v>
      </c>
    </row>
    <row r="203" spans="1:3">
      <c r="A203" t="s">
        <v>2478</v>
      </c>
      <c r="B203" t="e">
        <f>VLOOKUP(A203,'NDMO Specs. Overview'!B:F,5,0)</f>
        <v>#N/A</v>
      </c>
      <c r="C203" s="78" t="e">
        <f t="shared" si="3"/>
        <v>#N/A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995e63-5157-4ccd-9745-d47f6d395c8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54137E77C248648A7C4870FC3BF3732" ma:contentTypeVersion="9" ma:contentTypeDescription="Create a new document." ma:contentTypeScope="" ma:versionID="f96b7f9f60923cb76e874013256b43d0">
  <xsd:schema xmlns:xsd="http://www.w3.org/2001/XMLSchema" xmlns:xs="http://www.w3.org/2001/XMLSchema" xmlns:p="http://schemas.microsoft.com/office/2006/metadata/properties" xmlns:ns2="85995e63-5157-4ccd-9745-d47f6d395c83" targetNamespace="http://schemas.microsoft.com/office/2006/metadata/properties" ma:root="true" ma:fieldsID="b4ed62b96831353eb61ab30992def056" ns2:_="">
    <xsd:import namespace="85995e63-5157-4ccd-9745-d47f6d395c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995e63-5157-4ccd-9745-d47f6d395c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D0064F-60B6-401D-9268-3DF422B4BF46}">
  <ds:schemaRefs>
    <ds:schemaRef ds:uri="http://schemas.microsoft.com/sharepoint/v3/contenttype/forms"/>
  </ds:schemaRefs>
</ds:datastoreItem>
</file>

<file path=customXml/itemProps2.xml><?xml version="1.0" encoding="utf-8"?>
<ds:datastoreItem xmlns:ds="http://schemas.openxmlformats.org/officeDocument/2006/customXml" ds:itemID="{968297E8-3C6D-44DA-9CE2-C66C3B429BB9}">
  <ds:schemaRefs>
    <ds:schemaRef ds:uri="http://purl.org/dc/dcmitype/"/>
    <ds:schemaRef ds:uri="http://schemas.openxmlformats.org/package/2006/metadata/core-properties"/>
    <ds:schemaRef ds:uri="http://purl.org/dc/elements/1.1/"/>
    <ds:schemaRef ds:uri="http://schemas.microsoft.com/office/2006/documentManagement/types"/>
    <ds:schemaRef ds:uri="http://www.w3.org/XML/1998/namespace"/>
    <ds:schemaRef ds:uri="http://schemas.microsoft.com/office/2006/metadata/properties"/>
    <ds:schemaRef ds:uri="http://purl.org/dc/terms/"/>
    <ds:schemaRef ds:uri="http://schemas.microsoft.com/office/infopath/2007/PartnerControls"/>
    <ds:schemaRef ds:uri="85995e63-5157-4ccd-9745-d47f6d395c83"/>
  </ds:schemaRefs>
</ds:datastoreItem>
</file>

<file path=customXml/itemProps3.xml><?xml version="1.0" encoding="utf-8"?>
<ds:datastoreItem xmlns:ds="http://schemas.openxmlformats.org/officeDocument/2006/customXml" ds:itemID="{4E1A6044-9C57-4DCA-AF33-26FA6141E2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995e63-5157-4ccd-9745-d47f6d395c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Priority Items</vt:lpstr>
      <vt:lpstr>Master</vt:lpstr>
      <vt:lpstr>Maturity Questions Overview</vt:lpstr>
      <vt:lpstr>NDMO Specs. Overview</vt:lpstr>
      <vt:lpstr>Hiden - Duplicated Specs</vt:lpstr>
      <vt:lpstr>Calculation</vt:lpstr>
      <vt:lpstr>Hiden- Spec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Hatim A Alshehri</dc:creator>
  <cp:keywords/>
  <dc:description/>
  <cp:lastModifiedBy>Faisal M Alheezan</cp:lastModifiedBy>
  <cp:revision/>
  <dcterms:created xsi:type="dcterms:W3CDTF">2025-01-21T13:23:07Z</dcterms:created>
  <dcterms:modified xsi:type="dcterms:W3CDTF">2025-11-18T09:14:42Z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0x010100A54137E77C248648A7C4870FC3BF3732</vt:lpwstr>
  </property>
  <property fmtid="{D5CDD505-2E9C-101B-9397-08002B2CF9AE}" pid="3" name="MediaServiceImageTags">
    <vt:lpwstr/>
  </property>
</Properties>
</file>